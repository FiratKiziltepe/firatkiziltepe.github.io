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irat\PycharmProjects\firatkiziltepe.github.io\gemini-literature-screening\"/>
    </mc:Choice>
  </mc:AlternateContent>
  <xr:revisionPtr revIDLastSave="0" documentId="8_{07B2A854-A6E8-4BF4-B0FE-39A85626C30C}" xr6:coauthVersionLast="47" xr6:coauthVersionMax="47" xr10:uidLastSave="{00000000-0000-0000-0000-000000000000}"/>
  <bookViews>
    <workbookView xWindow="1884" yWindow="1884" windowWidth="17280" windowHeight="8880" xr2:uid="{035AF86D-E46B-4EBE-8157-DDF02E0C44E5}"/>
  </bookViews>
  <sheets>
    <sheet name="savedre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F30" i="1"/>
  <c r="BT30" i="1"/>
  <c r="BF31" i="1"/>
  <c r="BT31" i="1"/>
</calcChain>
</file>

<file path=xl/sharedStrings.xml><?xml version="1.0" encoding="utf-8"?>
<sst xmlns="http://schemas.openxmlformats.org/spreadsheetml/2006/main" count="1870" uniqueCount="716">
  <si>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</si>
  <si>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</si>
  <si>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</si>
  <si>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</si>
  <si>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</si>
  <si>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</si>
  <si>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</si>
  <si>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</si>
  <si>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</si>
  <si>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</si>
  <si>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</si>
  <si>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</si>
  <si>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</si>
  <si>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</si>
  <si>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</si>
  <si>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</si>
  <si>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</si>
  <si>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</si>
  <si>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</si>
  <si>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</si>
  <si>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</si>
  <si>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</si>
  <si>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</si>
  <si>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</si>
  <si>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</si>
  <si>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</si>
  <si>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</si>
  <si>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</si>
  <si>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</si>
  <si>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</si>
  <si>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</si>
  <si>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</si>
  <si>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</si>
  <si>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</si>
  <si>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</si>
  <si>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</si>
  <si>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</si>
  <si>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</si>
  <si>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</si>
  <si>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</si>
  <si>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</si>
  <si>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</si>
  <si>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</si>
  <si>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</si>
  <si>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</si>
  <si>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</si>
  <si>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</si>
  <si>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</si>
  <si>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</si>
  <si>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</si>
  <si>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</si>
  <si>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</si>
  <si>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</si>
  <si>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</si>
  <si>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</si>
  <si>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</si>
  <si>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</si>
  <si>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</si>
  <si>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</si>
  <si>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</si>
  <si>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</si>
  <si>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</si>
  <si>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</si>
  <si>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</si>
  <si>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</si>
  <si>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</si>
  <si>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</si>
  <si>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</si>
  <si>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</si>
  <si>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</si>
  <si>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</si>
  <si>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</si>
  <si>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</si>
  <si>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Di, YC; Shi, HJ; Wang, XM; Ma, RH; Liu, Y</t>
  </si>
  <si>
    <t/>
  </si>
  <si>
    <t>Di, Yicheng; Shi, Hongjian; Wang, Xiaoming; Ma, Ruhui; Liu, Yuan</t>
  </si>
  <si>
    <t>Federated Recommender System Based on Diffusion Augmentation and Guided Denoising</t>
  </si>
  <si>
    <t>ACM TRANSACTIONS ON INFORMATION SYSTEMS</t>
  </si>
  <si>
    <t>English</t>
  </si>
  <si>
    <t>Article</t>
  </si>
  <si>
    <t>Diffusion Model; Data Augmentation; Federated Recommender System; Guided Denoising</t>
  </si>
  <si>
    <t>Sequential recommender systems often struggle with accurate personalized recommendations due to data sparsity issues. Existing works use variational autoencoders and generative adversarial network methods to enrich sparse data. However, they often overlook diversity in the latent data distribution, hindering the model's generative capacity. This characteristic of generative methods can introduce additional noise in many cases. Moreover, retaining personalized user preferences through the generation process remains a challenge. This work introduces DGFedRS, a Federated Recommender System Based on Diffusion Augmentation and Guided Denoising, designed to capture the diversity in the latent data distribution while preserving user-specific information and suppressing noise. In particular, we pre-train the diffusion model using the recommender dataset and use a diffusion augmentation strategy to generate interaction sequences, expanding the sparse user-item interactions in the discrete space. To preserve user-specific preferences in the generated interactions, we employ a guided denoising strategy to guide the generation process during reverse diffusion. Subsequently, we design a noise control strategy to reduce the damage to personalized information during the diffusion process. Additionally, a stepwise scheduling strategy is devised to input generated data into the sequential recommender model based on their challenge levels. The success of the DGFedRS approach is demonstrated by thorough experiments conduct on three real-world datasets.</t>
  </si>
  <si>
    <t>[Di, Yicheng; Liu, Yuan] Jiangnan Univ, Sch Artificial Intelligence &amp; Comp Sci, Wuxi, Peoples R China; [Shi, Hongjian; Ma, Ruhui] Shanghai Jiao Tong Univ, Sch Elect Informat &amp; Elect Engn, Shanghai, Peoples R China; [Wang, Xiaoming] Beijing Inst Tracking &amp; Telecommun Technol, Beijing, Peoples R China</t>
  </si>
  <si>
    <t>Jiangnan University; Shanghai Jiao Tong University</t>
  </si>
  <si>
    <t>Ma, RH (corresponding author), Shanghai Jiao Tong Univ, Sch Elect Informat &amp; Elect Engn, Shanghai, Peoples R China.</t>
  </si>
  <si>
    <t>diyicheng@stu.jiangnan.edu.cn; shhjwu5@sjtu.edu.cn; wxm_506@163.com; ruhuima@sjtu.edu.cn; lyuan1800@jiangnan.edu.cn</t>
  </si>
  <si>
    <t>Shi, Hongjian/IZQ-1980-2023; Liu, Yuan/LRU-9944-2024; di, yicheng/HSG-8779-2023</t>
  </si>
  <si>
    <t>Shi, Hongjian/0000-0003-0743-7806; Liu, Yuan/0000-0002-2576-1426; Ma, Ruhui/0000-0001-9592-8490</t>
  </si>
  <si>
    <t>National Natural Science Foundation of China [61972182]; Shanghai Key Laboratory of Scalable Computing and Systems</t>
  </si>
  <si>
    <t>National Natural Science Foundation of China(National Natural Science Foundation of China (NSFC)); Shanghai Key Laboratory of Scalable Computing and Systems</t>
  </si>
  <si>
    <t>This work was funded by the National Natural Science Foundation of China under Grant Number 61972182. This work was supported in part by the Shanghai Key Laboratory of Scalable Computing and Systems.</t>
  </si>
  <si>
    <t>ASSOC COMPUTING MACHINERY</t>
  </si>
  <si>
    <t>NEW YORK</t>
  </si>
  <si>
    <t>1601 Broadway, 10th Floor, NEW YORK, NY USA</t>
  </si>
  <si>
    <t>1046-8188</t>
  </si>
  <si>
    <t>1558-2868</t>
  </si>
  <si>
    <t>ACM T INFORM SYST</t>
  </si>
  <si>
    <t>ACM Trans. Inf. Syst.</t>
  </si>
  <si>
    <t>MAR</t>
  </si>
  <si>
    <t>10.1145/3688570</t>
  </si>
  <si>
    <t>Computer Science, Information Systems</t>
  </si>
  <si>
    <t>Science Citation Index Expanded (SCI-EXPANDED)</t>
  </si>
  <si>
    <t>Computer Science</t>
  </si>
  <si>
    <t>Y3H3Q</t>
  </si>
  <si>
    <t>Bronze</t>
  </si>
  <si>
    <t>2026-06-26</t>
  </si>
  <si>
    <t>WOS:001431073600001</t>
  </si>
  <si>
    <t>Zhang, SA; Yao, LN; Sun, AX; Tay, Y</t>
  </si>
  <si>
    <t>Zhang, Shuai; Yao, Lina; Sun, Aixin; Tay, Yi</t>
  </si>
  <si>
    <t>Deep Learning Based Recommender System: A Survey and New Perspectives</t>
  </si>
  <si>
    <t>ACM COMPUTING SURVEYS</t>
  </si>
  <si>
    <t>Recommender system; deep learning; survey</t>
  </si>
  <si>
    <t>With the growing volume of online information, recommender systems have been an effective strategy to overcome information overload. The utility of recommender systems cannot be overstated, given their widespread adoption in many web applications, along with their potential impact to ameliorate many problems related to over-choice. In recent years, deep learning has garnered considerable interest in many research fields such as computer vision and natural language processing, owing not only to stellar performance but also to the attractive property of learning feature representations from scratch. The influence of deep learning is also pervasive, recently demonstrating its effectiveness when applied to information retrieval and recommender systems research. The field of deep learning in recommender system is flourishing. This article aims to provide a comprehensive review of recent research efforts on deep learning-based recommender systems. More concretely, we provide and devise a taxonomy of deep learning-based recommendation models, along with a comprehensive summary of the state of the art. Finally, we expand on current trends and provide new perspectives pertaining to this new and exciting development of the field.</t>
  </si>
  <si>
    <t>[Zhang, Shuai; Yao, Lina] Univ New South Wales, CSE, UNSW, K17, Sydney, NSW, Australia; [Sun, Aixin; Tay, Yi] Nanyang Technol Univ, Scse, Nanyang Ave, Singapore, Singapore</t>
  </si>
  <si>
    <t>University of New South Wales Sydney; Nanyang Technological University</t>
  </si>
  <si>
    <t>Zhang, SA (corresponding author), Univ New South Wales, CSE, UNSW, K17, Sydney, NSW, Australia.</t>
  </si>
  <si>
    <t>shuai.zhang@unsw.edu.au; lina.yao@unsw.edu.au; axsun@ntu.edu.sg; ytay017@e.ntu.edu.sg</t>
  </si>
  <si>
    <t>Sun, Aixin/A-9852-2008; Zhang, Shuai/AAI-2337-2019; Yao, Lina/LFU-4900-2024</t>
  </si>
  <si>
    <t>Sun, Aixin/0000-0003-0764-4258; Zhang, Shuai/0000-0002-7866-4611;</t>
  </si>
  <si>
    <t>0360-0300</t>
  </si>
  <si>
    <t>1557-7341</t>
  </si>
  <si>
    <t>ACM COMPUT SURV</t>
  </si>
  <si>
    <t>ACM Comput. Surv.</t>
  </si>
  <si>
    <t>FEB</t>
  </si>
  <si>
    <t>10.1145/3285029</t>
  </si>
  <si>
    <t>Computer Science, Theory &amp; Methods</t>
  </si>
  <si>
    <t>HN7NE</t>
  </si>
  <si>
    <t>WOS:000460376800005</t>
  </si>
  <si>
    <t>Zhao, ZH; Fan, WQ; Li, JT; Liu, YQ; Mei, XW; Wang, YQ; Wen, Z; Wang, F; Zhao, XY; Tang, JL; Li, Q</t>
  </si>
  <si>
    <t>Zhao, Zihuai; Fan, Wenqi; Li, Jiatong; Liu, Yunqing; Mei, Xiaowei; Wang, Yiqi; Wen, Zhen; Wang, Fei; Zhao, Xiangyu; Tang, Jiliang; Li, Qing</t>
  </si>
  <si>
    <t>Recommender Systems in the Era of Large Language Models (LLMs)</t>
  </si>
  <si>
    <t>IEEE TRANSACTIONS ON KNOWLEDGE AND DATA ENGINEERING</t>
  </si>
  <si>
    <t>Recommender systems; Motion pictures; Task analysis; Surveys; Reviews; History; Electronic mail; large language models (LLMs); pre-training and fine-tuning; prompting; in-context learning</t>
  </si>
  <si>
    <t>With the prosperity of e-commerce and web applications, Recommender Systems (RecSys) have become an indispensable and important component, providing personalized suggestions that cater to user preferences. While Deep Neural Networks (DNNs) have achieved significant advancements in enhancing recommender systems, these DNN-based methods still exhibit some limitations, such as inferior capabilities to effectively capture textual side information about users and items, difficulties in generalization to various recommendation scenarios, and reasoning on their predictions, etc. Meanwhile, the development of Large Language Models (LLMs), such as ChatGPT and GPT-4, has revolutionized the fields of Natural Language Processing (NLP) and Artificial Intelligence (AI), due to their remarkable abilities in fundamental responsibilities of language understanding and generation, as well as impressive generalization capabilities and reasoning skills. As a result, recent studies have actively attempted to harness the power of LLMs to enhance recommender systems. Given the rapid evolution of this research direction in recommender systems, there is a pressing need for a systematic overview that summarizes existing LLM-empowered recommender systems. Therefore, in this survey, we comprehensively review LLM-empowered recommender systems from various perspectives including pre-training, fine-tuning, and prompting paradigms. More specifically, we first introduce the representative methods to learn user and item representations, leveraging LLMs as feature encoders. Then, we systematically review the emerging advanced techniques of LLMs for enhancing recommender systems from three paradigms, namely pre-training, fine-tuning, and prompting. Finally, we comprehensively discuss the promising future directions in this emerging field.</t>
  </si>
  <si>
    <t>[Zhao, Zihuai; Li, Jiatong; Liu, Yunqing; Li, Qing] Hong Kong Polytech Univ, Dept Comp, Hong Kong, Peoples R China; [Fan, Wenqi] Hong Kong Polytech Univ, Dept Comp COMP, Hong Kong, Peoples R China; [Fan, Wenqi] Hong Kong Polytech Univ, Dept Management &amp; Mkt MM, Hong Kong, Peoples R China; [Mei, Xiaowei] Hong Kong Polytech Univ, Dept Management &amp; Mkt, Hong Kong, Peoples R China; [Wang, Yiqi] Natl Univ Def Technol, Changsha 410073, Peoples R China; [Wen, Zhen; Wang, Fei] Amazon, Seattle, WA 98109 USA; [Zhao, Xiangyu] City Univ Hong Kong, Hong Kong, Peoples R China; [Tang, Jiliang] Michigan State Univ, E Lansing, MI 48824 USA</t>
  </si>
  <si>
    <t>Hong Kong Polytechnic University; Hong Kong Polytechnic University; Hong Kong Polytechnic University; Hong Kong Polytechnic University; National University of Defense Technology - China; Amazon.com; City University of Hong Kong; Michigan State University</t>
  </si>
  <si>
    <t>Li, Q (corresponding author), Hong Kong Polytech Univ, Dept Comp, Hong Kong, Peoples R China.;Fan, WQ (corresponding author), Hong Kong Polytech Univ, Dept Comp COMP, Hong Kong, Peoples R China.;Fan, WQ (corresponding author), Hong Kong Polytech Univ, Dept Management &amp; Mkt MM, Hong Kong, Peoples R China.</t>
  </si>
  <si>
    <t>scofield.zzh@gmail.com; wenqifan03@gmail.com; jiatong.li@connect.polyu.hk; yunqing617.liu@connect.polyu.hk; michael.mei@polyu.edu.hk; yiq@nudt.edu.cn; zhenwen@amazon.com; feiww@amazon.com; xy.zhao@cityu.edu.hk; tangjili@msu.edu; csqli@comp.polyu.edu.hk</t>
  </si>
  <si>
    <t>; Zhao, Xiangyu/AAO-2203-2020; Li, Qing/JMH-1365-2023</t>
  </si>
  <si>
    <t>FAN, Wenqi/0000-0002-4049-1233; Zhao, Xiangyu/0000-0003-2926-4416; Zhao, Zihuai/0009-0002-3892-2468; Li, Jiatong/0000-0001-7705-2296</t>
  </si>
  <si>
    <t>NSFC [62102335]; General Research Funds from the Hong Kong Research Grants Council [PolyU 15200021, 15207322, 15200023]; Hong Kong Polytechnic University [P0036200, P0042693, P0048625, P0048752]; Research Collaborative Project [P0041282]; SHTM Interdisciplinary Large [P0043302]; APRC-CityU New Research Initiatives [9610565]; Start-up Grant for New Faculty of City University of Hong Kong; SIRG-CityU Strategic Interdisciplinary Research [7020046, 7020074]; HKIDS Early Career Research [9360163]; Ant Group (CCF-Ant Research Fund); Ant Group (Ant Group Research Fund)</t>
  </si>
  <si>
    <t>NSFC(National Natural Science Foundation of China (NSFC)); General Research Funds from the Hong Kong Research Grants Council; Hong Kong Polytechnic University(Hong Kong Polytechnic University); Research Collaborative Project; SHTM Interdisciplinary Large; APRC-CityU New Research Initiatives; Start-up Grant for New Faculty of City University of Hong Kong; SIRG-CityU Strategic Interdisciplinary Research; HKIDS Early Career Research; Ant Group (CCF-Ant Research Fund); Ant Group (Ant Group Research Fund)</t>
  </si>
  <si>
    <t>This work was supported in part by NSFC under Grant 62102335, in part by the General Research Funds from the Hong Kong Research Grants Council under Grant PolyU 15200021, Grant 15207322, and Grant 15200023, in part by the Hong Kong Polytechnic University under Grant P0036200, Grant P0042693, Grant P0048625, and Grant P0048752, in part by the Research Collaborative Project under Grant P0041282, and in part by the SHTM Interdisciplinary Large under Grant P0043302. The work of Xiangyu Zhao was supported in part by APRC-CityU New Research Initiatives under Grant 9610565, in part by the Start-up Grant for New Faculty of City University of Hong Kong, in part by the SIRG-CityU Strategic Interdisciplinary Research under Grant 7020046 and Grant 7020074, in part by the HKIDS Early Career Research under Grant 9360163, and in part by the Ant Group (CCF-Ant Research Fund, Ant Group Research Fund).</t>
  </si>
  <si>
    <t>IEEE COMPUTER SOC</t>
  </si>
  <si>
    <t>LOS ALAMITOS</t>
  </si>
  <si>
    <t>10662 LOS VAQUEROS CIRCLE, PO BOX 3014, LOS ALAMITOS, CA 90720-1314 USA</t>
  </si>
  <si>
    <t>1041-4347</t>
  </si>
  <si>
    <t>1558-2191</t>
  </si>
  <si>
    <t>IEEE T KNOWL DATA EN</t>
  </si>
  <si>
    <t>IEEE Trans. Knowl. Data Eng.</t>
  </si>
  <si>
    <t>NOV</t>
  </si>
  <si>
    <t>10.1109/TKDE.2024.3392335</t>
  </si>
  <si>
    <t>Computer Science, Artificial Intelligence; Computer Science, Information Systems; Engineering, Electrical &amp; Electronic</t>
  </si>
  <si>
    <t>Computer Science; Engineering</t>
  </si>
  <si>
    <t>J3V6Y</t>
  </si>
  <si>
    <t>WOS:001336378400083</t>
  </si>
  <si>
    <t>Di, YC; Wang, XM; Shi, HJ; Fan, CS; Zhou, R; Ma, RH; Liu, Y</t>
  </si>
  <si>
    <t>Di, Yicheng; Wang, Xiaoming; Shi, Hongjian; Fan, Chongsheng; Zhou, Rong; Ma, Ruhui; Liu, Yuan</t>
  </si>
  <si>
    <t>Personalized Consumer Federated Recommender System Using Fine-Grained Transformation and Hybrid Information Sharing</t>
  </si>
  <si>
    <t>IEEE TRANSACTIONS ON CONSUMER ELECTRONICS</t>
  </si>
  <si>
    <t>Federated learning; trustworthy recommender; multi-behavior recommender; personalized recommender; trustworthy recommender; multi-behavior recommender; personalized recommender</t>
  </si>
  <si>
    <t>LEARNING FRAMEWORK</t>
  </si>
  <si>
    <t>Electronic shopping's convenience and efficiency make it essential in modern life. In trustworthy personalized consumer recommender scenarios, diverse consumer interests lead to various interactions. Existing methods struggle to capture complex behavior dependencies and shared information across behaviors by exploring multi-behavior interaction sequences. To address this, we propose the Personalized Consumer Federated Recommender System Using Fine-grained Transformation and Hybrid Information Sharing (PCFedRec). Our contributions are as follows: Firstly, we employ the Fine-grained Transformation Module to capture fine-grained heterogeneous dependencies of consumer behaviors and model the behavior semantics of interest. Secondly, we use the Weight Correction Mechanism to reduce suboptimal position encoding and noisy input. Finally, we design the Hybrid Information Sharing Module to learn general consumer interests by leveraging common information across different behaviors. The Normalized Discounted Cumulative Gain is used to evaluate the performance of the recommender systems by considering both the relevance and rank order of the top 10 recommended items. The PCFedRec improves performance by 6.20%, 8.08%, 9.16%, and 7.14% on this metric.</t>
  </si>
  <si>
    <t>[Di, Yicheng; Liu, Yuan] Jiangnan Univ, Sch Artificial Intelligence &amp; Comp Sci, Wuxi 214122, Peoples R China; [Wang, Xiaoming] Beijing Inst Tracking &amp; Telecommun Technol, Dept Basic Res, Beijing 100094, Peoples R China; [Shi, Hongjian; Ma, Ruhui] Shanghai Jiao Tong Univ, Sch Elect Informat &amp; Elect Engn, Shanghai 200240, Peoples R China; [Fan, Chongsheng; Zhou, Rong] Shanghai Aerosp Equipment Manufacturer Co Ltd, Dept Aerosp Equipment, Shanghai 200245, Peoples R China</t>
  </si>
  <si>
    <t>Ma, RH (corresponding author), Shanghai Jiao Tong Univ, Sch Elect Informat &amp; Elect Engn, Shanghai 200240, Peoples R China.</t>
  </si>
  <si>
    <t>diyicheng@stu.jiangnan.edu.cn; wxm_506@163.com; shhjwu5@sjtu.edu.cn; fcs-841220@163.com; zifei19820324@qq.com; ruhuima@sjtu.edu.cn; lyuan1800@jiangnan.edu.cn</t>
  </si>
  <si>
    <t>Liu, Yuan/LRU-9944-2024; Shi, Hongjian/IZQ-1980-2023; di, yicheng/HSG-8779-2023</t>
  </si>
  <si>
    <t>Liu, Yuan/0000-0002-2576-1426; Ma, Ruhui/0000-0001-9592-8490; Shi, Hongjian/0000-0003-0743-7806;</t>
  </si>
  <si>
    <t>National Natural Science Foundation of China [61972182, 62472200]; Shanghai Key Laboratory of Scalable Computing and Systems</t>
  </si>
  <si>
    <t>This work was supported in part by the National Natural Science Foundation of China under Grant 61972182 and Grant 62472200, and in part by the Shanghai Key Laboratory of Scalable Computing and Systems</t>
  </si>
  <si>
    <t>IEEE-INST ELECTRICAL ELECTRONICS ENGINEERS INC</t>
  </si>
  <si>
    <t>PISCATAWAY</t>
  </si>
  <si>
    <t>445 HOES LANE, PISCATAWAY, NJ 08855-4141 USA</t>
  </si>
  <si>
    <t>0098-3063</t>
  </si>
  <si>
    <t>1558-4127</t>
  </si>
  <si>
    <t>IEEE T CONSUM ELECTR</t>
  </si>
  <si>
    <t>IEEE Trans. Consum. Electron.</t>
  </si>
  <si>
    <t>MAY</t>
  </si>
  <si>
    <t>10.1109/TCE.2025.3526427</t>
  </si>
  <si>
    <t>Engineering, Electrical &amp; Electronic; Telecommunications</t>
  </si>
  <si>
    <t>Engineering; Telecommunications</t>
  </si>
  <si>
    <t>6IY7K</t>
  </si>
  <si>
    <t>WOS:001554477900017</t>
  </si>
  <si>
    <t>Wu, SW; Sun, F; Zhang, WT; Xie, X; Cui, B</t>
  </si>
  <si>
    <t>Wu, Shiwen; Sun, Fei; Zhang, Wentao; Xie, Xu; Cui, Bin</t>
  </si>
  <si>
    <t>Graph Neural Networks in Recommender Systems: A Survey</t>
  </si>
  <si>
    <t>Recommender system; graph neural network; survey</t>
  </si>
  <si>
    <t>CONVOLUTIONAL NETWORKS; MATRIX FACTORIZATION; DIFFERENTIAL PRIVACY</t>
  </si>
  <si>
    <t>With the explosive growth of online information, recommender systems play a key role to alleviate such information overload. Due to the important application value of recommender systems, there have always been emerging works in this field. In recommender systems, the main challenge is to learn the effective user/item representations from their interactions and side information (if any). Recently, graph neural network (GNN) techniques have been widely utilized in recommender systems since most of the information in recommender systems essentially has graph structure and GNN has superiority in graph representation learning. This article aims to provide a comprehensive review of recent research efforts on GNN-based recommender systems. Specifically, we provide a taxonomy of GNN-based recommendation models according to the types of information used and recommendation tasks. Moreover, we systematically analyze the challenges of applying GNN on different types of data and discuss how existing works in this field address these challenges. Furthermore, we state new perspectives pertaining to the development of this field. We collect the representative papers along with their open-source implementations in https://githuh.coni/wusw14/GNN-in-RS.</t>
  </si>
  <si>
    <t>[Wu, Shiwen; Zhang, Wentao; Xie, Xu; Cui, Bin] Peking Univ, Sch CS, Beijing 100871, Peoples R China; [Wu, Shiwen; Zhang, Wentao; Xie, Xu; Cui, Bin] Peking Univ, Key Lab High Confidence Software Technol MOE, Beijing 100871, Peoples R China; [Sun, Fei] Alibaba Grp, Beijing 100102, Peoples R China; [Zhang, Wentao; Xie, Xu; Cui, Bin] Peking Univ Qingdao, Peking Univ, Inst Computat Social Sci, Beijing 100871, Peoples R China</t>
  </si>
  <si>
    <t>Peking University; Peking University; Alibaba Group; Peking University</t>
  </si>
  <si>
    <t>Zhang, WT; Cui, B (corresponding author), Peking Univ, Sch CS, Beijing 100871, Peoples R China.;Zhang, WT; Cui, B (corresponding author), Peking Univ, Key Lab High Confidence Software Technol MOE, Beijing 100871, Peoples R China.;Zhang, WT; Cui, B (corresponding author), Peking Univ Qingdao, Peking Univ, Inst Computat Social Sci, Beijing 100871, Peoples R China.</t>
  </si>
  <si>
    <t>wushw.18@pku.edu.cn; ofey.sf@alibaba-inc.com; wentao_zhang@pku.edu.cn; xu.xie@pku.edu.cn; bin.cui@pku.edu.cn</t>
  </si>
  <si>
    <t>Zhang, Wentao/NZN-5097-2025; Sun, Fei/C-4190-2015</t>
  </si>
  <si>
    <t>Sun, Fei/0000-0002-6146-148X; Xie, Xu/0000-0001-7874-9861</t>
  </si>
  <si>
    <t>NSFC [61832001]; Beijing Academy of Artificial Intelligence (BAAI); PKU-Tencent Joint Research Lab</t>
  </si>
  <si>
    <t>NSFC(National Natural Science Foundation of China (NSFC)); Beijing Academy of Artificial Intelligence (BAAI)(Beijing Academy of Artificial Intelligence); PKU-Tencent Joint Research Lab</t>
  </si>
  <si>
    <t>This work is supported by NSFC (No. 61832001), Beijing Academy of Artificial Intelligence (BAAI), and PKU-Tencent Joint Research Lab.</t>
  </si>
  <si>
    <t>JUN</t>
  </si>
  <si>
    <t>10.1145/3535101</t>
  </si>
  <si>
    <t>6R5QA</t>
  </si>
  <si>
    <t>WOS:000892356400011</t>
  </si>
  <si>
    <t>Gao, C; Zheng, Y; Wang, WJ; Feng, FL; He, XN; Li, Y</t>
  </si>
  <si>
    <t>Gao, Chen; Zheng, Yu; Wang, Wenjie; Feng, Fuli; He, Xiangnan; Li, Yong</t>
  </si>
  <si>
    <t>Causal Inference in Recommender Systems: A Survey and Future Directions</t>
  </si>
  <si>
    <t>Recommender systems; causal inference; information retrieval</t>
  </si>
  <si>
    <t>Recommender systems have become crucial in information filtering nowadays. Existing recommender systems extract user preferences based on the correlation in data, such as behavioral correlation in collaborative filtering, feature-feature, or feature-behavior correlation in click-through rate prediction. However, unfortunately, the real world is driven by causality, not just correlation, and correlation does not imply causation. For instance, recommender systems might recommend a battery charger to a user after buying a phone, where the latter can serve as the cause of the former; such a causal relation cannot be reversed. Recently, to address this, researchers in recommender systems have begun utilizing causal inference to extract causality, thereby enhancing the recommender system. In this survey, we offer a comprehensive review of the literature on causal inference-based recommendation. Initially, we introduce the fundamental concepts of both recommender system and causal inference as the foundation for subsequent content. We then highlight the typical issues faced by non-causality recommender system. Following that, we thoroughly review the existing work on causal inference-based recommender systems, based on a taxonomy of three-aspect challenges that causal inference can address. Finally, we discuss the open problems in this critical research area and suggest important potential future works.</t>
  </si>
  <si>
    <t>[Gao, Chen] Tsinghua Univ, Beijing Natl Res Ctr Informat Sci &amp; Technol, Beijing, Peoples R China; [Zheng, Yu; Li, Yong] Tsinghua Univ, Dept Elect Engn, Beijing, Peoples R China; [Wang, Wenjie] Natl Univ Singapore, Sch Comp, Singapore, Singapore; [Feng, Fuli; He, Xiangnan] Univ Sci &amp; Technol China, Sch Informat Sci &amp; Technol, Hefei, Peoples R China</t>
  </si>
  <si>
    <t>Tsinghua University; Tsinghua University; National University of Singapore; Chinese Academy of Sciences; University of Science &amp; Technology of China, CAS</t>
  </si>
  <si>
    <t>Gao, C (corresponding author), Tsinghua Univ, Beijing Natl Res Ctr Informat Sci &amp; Technol, Beijing, Peoples R China.</t>
  </si>
  <si>
    <t>chgao96@gmail.com; y-zheng19@mails.tsinghua.edu.cn; wenjiewang96@gmail.com; fulifeng93@gmail.com; xiangnanhe@gmail.com; liyong07@tsinghua.edu.cn</t>
  </si>
  <si>
    <t>; Wang, Shiqi/LEM-7616-2024; chen, jiawei/OYF-5909-2025; Gao, Chongming/AAC-7707-2021; Li, Yong/AFD-8722-2022</t>
  </si>
  <si>
    <t>Li, Shijun/0000-0002-4495-0732; Feng, Fuli/0000-0002-5828-9842; Zheng, Yu/0000-0002-1837-6730; Gao, Chongming/0000-0002-5187-9196; Yang, jinhua/0009-0005-8469-8892; Wang, Wenjie/0000-0002-5199-1428; Jiang, Peng/0000-0002-9266-0780;</t>
  </si>
  <si>
    <t>National Key Research and Development Program of China [2020AAA0106000]; National Natural Science Foundation of China [62272262, U23B2030]; Guoqiang Institute, Tsinghua University</t>
  </si>
  <si>
    <t>National Key Research and Development Program of China(National Key Research &amp; Development Program of China); National Natural Science Foundation of China(National Natural Science Foundation of China (NSFC)); Guoqiang Institute, Tsinghua University(Tsinghua University)</t>
  </si>
  <si>
    <t>This work is supported in part by National Key Research and Development Program of China under 2020AAA0106000, and by National Natural Science Foundation of China under 62272262 and U23B2030. This work is also supported by grant from the Guoqiang Institute, Tsinghua University.</t>
  </si>
  <si>
    <t>JUL</t>
  </si>
  <si>
    <t>10.1145/3639048</t>
  </si>
  <si>
    <t>RR0I9</t>
  </si>
  <si>
    <t>WOS:001229267400001</t>
  </si>
  <si>
    <t>Huang, X; Lian, JX; Lei, YX; Yao, J; Lian, DF; Xie, X</t>
  </si>
  <si>
    <t>Huang, Xu; Lian, Jianxun; Lei, Yuxuan; Yao, Jing; Lian, Defu; Xie, Xing</t>
  </si>
  <si>
    <t>Recommender AI Agent: Integrating Large Language Models for Interactive Recommendations</t>
  </si>
  <si>
    <t>Conversational Recommendation; Large Language Models; Interactive Agents</t>
  </si>
  <si>
    <t>Recommender models capture ever-changing user preferences by training with in-domain user behavior data. These models are typically lightweight, facilitating real-time and large-scale online services. However, these models often falter when tasked with providing more sophisticated functionalities, such as offering explanations or engaging in conversations. Recently, large language models (LLMs) have emerged as a significant advancement towards artificial general intelligence, demonstrating impressive capabilities in instruction comprehension, reasoning, and human interaction. Unfortunately, LLMs lack the understanding of domain-specific item catalogs and behavioral patterns, especially in areas that deviate from general world knowledge, such as online e-commerce. This limitation makes them unsuitable to function as recommender models directly. In this article, we bridge the gap between recommender models and LLMs, combining their respective strengths to create an interactive recommender system. We present an efficient framework, termed as InteRecAgent, which utilizes LLMs as the brain and recommender models as instrumental tools. We first outline a minimal set of essential tools required to transform LLMs into InteRecAgent. To overcome specific challenges associated with LLM-based agents for recommender systems, we enhance three core components, covering memory mechanism, task planning, and tool learning abilities. The InteRecAgent empowers traditional recommender systems, like ID-based matrix factorization models, to evolve into versatile and interactive systems with a natural language interface through the integration of LLMs. Experimental results derived from three public datasets demonstrate that the InteRecAgent delivers strong performance as a conversational recommender system, surpassing general LLMs such as GPT-4.</t>
  </si>
  <si>
    <t>[Huang, Xu; Lei, Yuxuan; Lian, Defu] Univ Sci &amp; Technol China, Sch Comp Sci, Hefei, Peoples R China; [Lian, Jianxun; Yao, Jing; Xie, Xing] Microsoft Res Asia, Beijing, Peoples R China</t>
  </si>
  <si>
    <t>Chinese Academy of Sciences; University of Science &amp; Technology of China, CAS; Microsoft Research Asia; Microsoft; Microsoft China</t>
  </si>
  <si>
    <t>Lian, DF (corresponding author), Univ Sci &amp; Technol China, Sch Comp Sci, Hefei, Peoples R China.;Lian, JX (corresponding author), Microsoft Res Asia, Beijing, Peoples R China.</t>
  </si>
  <si>
    <t>xuhuangcs@mail.ustc.edu.cn; jianxun.lian@outlook.com; lyx180812@mail.ustc.edu.cn; jingyao@microsoft.com; liandefu@ustc.edu.cn; xingx@microsoft.com</t>
  </si>
  <si>
    <t>Lian, Defu/AFN-4573-2022</t>
  </si>
  <si>
    <t>Lei, Yuxuan/0009-0006-3235-8674; Huang, Xu/0000-0003-4354-334X; Xie, Xing/0009-0009-3257-3077</t>
  </si>
  <si>
    <t>10.1145/3731446</t>
  </si>
  <si>
    <t>5KF3E</t>
  </si>
  <si>
    <t>WOS:001537652500001</t>
  </si>
  <si>
    <t>Gao, C; Zheng, Y; Li, N; Li, YF; Qin, YR; Piao, JH; Quan, YH; Chang, JX; Jin, DP; He, XN; Li, Y</t>
  </si>
  <si>
    <t>Gao, Chen; Zheng, Yu; Li, Nian; Li, Yinfeng; Qin, Yingrong; Piao, Jinghua; Quan, Yuhan; Chang, Jianxin; Jin, Depeng; He, Xiangnan; Li, Yong</t>
  </si>
  <si>
    <t>A Survey of Graph Neural Networks for Recommender Systems: Challenges, Methods, and Directions</t>
  </si>
  <si>
    <t>ACM TRANSACTIONS ON RECOMMENDER SYSTEMS</t>
  </si>
  <si>
    <t>Recommender systems; graph neural networks; graph representation learning; information retrieval</t>
  </si>
  <si>
    <t>Recommender system is one of the most important information services on today's Internet. Recently, graph neural networks have become the new state-of-the-art approach to recommender systems. In this survey, we conduct a comprehensive review of the literature on graph neural network-based recommender systems. We first introduce the background and the history of the development of both recommender systems and graph neural networks. For recommender systems, in general, there are four aspects for categorizing existing works: stage, scenario, objective, and application. For graph neural networks, the existing methods consist of two categories: spectral models and spatial ones. We then discuss the motivation of applying graph neural networks into recommender systems, mainly consisting of the high-order connectivity, the structural property of data and the enhanced supervision signal. We then systematically analyze the challenges in graph construction, embedding propagation/aggregation, model optimization, and computation efficiency. Afterward and primarily, we provide a comprehensive overview of a multitude of existing works of graph neural network-based recommender systems, following the taxonomy above. Finally, we raise discussions on the open problems and promising future directions in this area. We summarize the representative papers along with their code repositories in https://github.com/tsinghua-fib-lab/GNN-Recommender-Systems.</t>
  </si>
  <si>
    <t>[Gao, Chen; Zheng, Yu; Li, Nian; Li, Yinfeng; Qin, Yingrong; Piao, Jinghua; Quan, Yuhan; Chang, Jianxin; Jin, Depeng] Tsinghua Univ, Beijing Natl Res Ctr Informat Sci &amp; Technol BNRist, Dept Elect Engn, Beijing, Peoples R China; [He, Xiangnan] Univ Sci &amp; Technol China, Sch Informat Sci &amp; Technol, Hefei, Peoples R China; [Li, Yong] Tsinghua Univ, Dept Engn, Beijing Natl Res Ctr Informat Sci &amp; Technol BNRist, Beijing, Peoples R China</t>
  </si>
  <si>
    <t>Tsinghua University; Chinese Academy of Sciences; University of Science &amp; Technology of China, CAS; Tsinghua University</t>
  </si>
  <si>
    <t>Li, YF (corresponding author), Tsinghua Univ, Beijing Natl Res Ctr Informat Sci &amp; Technol BNRist, Dept Elect Engn, Beijing, Peoples R China.</t>
  </si>
  <si>
    <t>chgao96@gmail.com; y-zheng19@mails.tsinghua.edu.cn; linian21@mails.tsinghua.edu.cn; liyf19@mails.tsinghua.edu.cn; qyr16@mails.tsinghua.edu.cn; pojh19@mails.tsinghua.edu.cn; quanyh19@mails.tsinghua.edu.cn; changjx18@mails.tsinghua.edu.cn; jindp@tsinghua.edu.cn; liyong07@tsinghua.edu.cn; xiangnanhe@gmail.com</t>
  </si>
  <si>
    <t>jin, du/G-4747-2012</t>
  </si>
  <si>
    <t>National Key Research and Development Program of China [2020AAA0106000]; National Natural Science Foundation of China [U19A2079]; China Postdoctoral Science Foundation [2021TQ0027, 2022M710006]</t>
  </si>
  <si>
    <t>National Key Research and Development Program of China(National Key Research &amp; Development Program of ChinaNational Key Technology R&amp;D Program); National Natural Science Foundation of China(National Natural Science Foundation of China (NSFC)); China Postdoctoral Science Foundation(China Postdoctoral Science Foundation)</t>
  </si>
  <si>
    <t>This work is supported by the National Key Research and Development Program of China under grant 2020AAA0106000. This work is also supported by the National Natural Science Foundation of China (U19A2079). This work is also supported by the fellowship of China Postdoctoral Science Foundation under grant 2021TQ0027 and 2022M710006.</t>
  </si>
  <si>
    <t>2770-6699</t>
  </si>
  <si>
    <t>ACM T RECOMM SYST</t>
  </si>
  <si>
    <t>ACM Trans. Recomm. Syst.</t>
  </si>
  <si>
    <t>10.1145/3568022</t>
  </si>
  <si>
    <t>Computer Science, Artificial Intelligence; Computer Science, Information Systems</t>
  </si>
  <si>
    <t>Emerging Sources Citation Index (ESCI)</t>
  </si>
  <si>
    <t>IT6YP</t>
  </si>
  <si>
    <t>WOS:001780076100001</t>
  </si>
  <si>
    <t>Adomavicius, G; Tuzhilin, A</t>
  </si>
  <si>
    <t>Toward the next generation of recommender systems: A survey of the state-of-the-art and possible extensions</t>
  </si>
  <si>
    <t>Review</t>
  </si>
  <si>
    <t>recommender systems; collaborative filtering; rating estimation methods; extensions to recommender systems</t>
  </si>
  <si>
    <t>RETRIEVAL; PROFILES; MODELS</t>
  </si>
  <si>
    <t>This paper presents an overview of the field of recommender systems and describes the current generation of recommendation methods that are usually classified into the following three main categories: content-based, collaborative, and hybrid recommendation approaches. This paper also describes various limitations of current recommendation methods and discusses possible extensions that can improve recommendation capabilities and make recommender systems applicable to an even broader range of applications. These extensions include, among others, an improvement of understanding of users and items, incorporation of the contextual information into the recommendation process, support for multcriteria ratings, and a provision of more flexible and less intrusive types of recommendations.</t>
  </si>
  <si>
    <t>Univ Minnesota, Carlson Sch Management, Minneapolis, MN 55455 USA; Stern Sch Business, New York, NY 10012 USA</t>
  </si>
  <si>
    <t>University of Minnesota System; University of Minnesota Twin Cities</t>
  </si>
  <si>
    <t>Adomavicius, G (corresponding author), Univ Minnesota, Carlson Sch Management, 321 19th Ave S, Minneapolis, MN 55455 USA.</t>
  </si>
  <si>
    <t>gedas@umn.edu; atuzhili@stern.nyu.edu</t>
  </si>
  <si>
    <t>Tuzhilin, Alexander/MYS-5683-2025</t>
  </si>
  <si>
    <t>10.1109/TKDE.2005.99</t>
  </si>
  <si>
    <t>917IC</t>
  </si>
  <si>
    <t>WOS:000228453300002</t>
  </si>
  <si>
    <t>Zhang, JC; Zain, AM; Zhou, KQ; Chen, X; Zhang, RM</t>
  </si>
  <si>
    <t>Zhang, Jin-Cheng; Zain, Azlan Mohd; Zhou, Kai-Qing; Chen, Xi; Zhang, Ren-Min</t>
  </si>
  <si>
    <t>A review of recommender systems based on knowledge graph embedding</t>
  </si>
  <si>
    <t>EXPERT SYSTEMS WITH APPLICATIONS</t>
  </si>
  <si>
    <t>With the exponential growth of data volume, information overload has become a problem for users, and recommender systems were employed to solve this problem. The purpose of the recommender system is to mine the information of interest to users from massive amounts of data. However, some problems have not been well addressed in recommender systems, e.g., the sparse interaction data between users and items and the cold -start problems when making recommendations to new users. In recent years, incorporating knowledge graphs as side information to recommender systems by knowledge graph embedding techniques has attracted considerable interest, because the rich information contained in the knowledge graph can effectively solve the above problems. This paper provides a systematic review of recommender systems based on knowledge graph embedding in terms of methods and applications. Specifically, some basic notions of recommender systems and knowledge graphs are first briefly introduced, followed by a detailed description of how existing methods associate knowledge graph embedding and recommender systems. In addition, a series of related recommendation application scenarios are summarized along with information and statistics on related datasets.</t>
  </si>
  <si>
    <t>[Zhang, Jin-Cheng; Zain, Azlan Mohd] Univ Teknol Malaysia, Fac Comp, Skudai, Malaysia; [Zhou, Kai-Qing; Zhang, Ren-Min] Jishou Univ, Sch Commun &amp; Elect Engn, Jishou, Peoples R China; [Chen, Xi] Tencent Inc, Shenzhen, Peoples R China</t>
  </si>
  <si>
    <t>Universiti Teknologi Malaysia; Jishou University; Tencent</t>
  </si>
  <si>
    <t>Zain, AM (corresponding author), Univ Teknol Malaysia, Fac Comp, Skudai, Malaysia.</t>
  </si>
  <si>
    <t>zhangjincheng@graduate.utm.my; azlanmz@utm.my; kqzhou@jsu.edu.cn; jasonxchen@tencent.com; rzhang1981@jsu.edu.cn</t>
  </si>
  <si>
    <t>Zhang, Renmin/HGA-7268-2022; Zhou, Kai-Qing/U-6327-2019; Mohd Zain, Azlan/K-6829-2012</t>
  </si>
  <si>
    <t>Zhang, Jincheng/0000-0002-5005-6972; Zhou, Kai-Qing/0000-0001-5779-7135; Mohd Zain, Azlan/0000-0003-2004-3289</t>
  </si>
  <si>
    <t>Ministry of Higher Education Malaysia under the Fundamental Research Grant Scheme (FRGS) [FRGS/1/2022/ICT02/UTM/01/1]; National Natural Science Foundation of China [62066016, 62061017]; Natural Science Foundation of Hunan Province of China [2024JJ7395, 2022JJ50310]; Research Foundation of Education Bureau of Hunan Province, China [22B0549, 22C0282]</t>
  </si>
  <si>
    <t>Ministry of Higher Education Malaysia under the Fundamental Research Grant Scheme (FRGS); National Natural Science Foundation of China(National Natural Science Foundation of China (NSFC)); Natural Science Foundation of Hunan Province of China(Natural Science Foundation of Hunan Province); Research Foundation of Education Bureau of Hunan Province, China</t>
  </si>
  <si>
    <t>The authors would like to acknowledge the financial support from the Ministry of Higher Education Malaysia under the Fundamental Research Grant Scheme (FRGS) (FRGS/1/2022/ICT02/UTM/01/1) the National Natural Science Foundation of China (62066016, 62061017) , the Natural Science Foundation of Hunan Province of China (No. 2024JJ7395, No. 2022JJ50310) , the Research Foundation of Education Bureau of Hunan Province, China (22B0549, 22C0282) .</t>
  </si>
  <si>
    <t>PERGAMON-ELSEVIER SCIENCE LTD</t>
  </si>
  <si>
    <t>OXFORD</t>
  </si>
  <si>
    <t>THE BOULEVARD, LANGFORD LANE, KIDLINGTON, OXFORD OX5 1GB, ENGLAND</t>
  </si>
  <si>
    <t>0957-4174</t>
  </si>
  <si>
    <t>1873-6793</t>
  </si>
  <si>
    <t>EXPERT SYST APPL</t>
  </si>
  <si>
    <t>Expert Syst. Appl.</t>
  </si>
  <si>
    <t>SEP 15</t>
  </si>
  <si>
    <t>10.1016/j.eswa.2024.123876</t>
  </si>
  <si>
    <t>APR 2024</t>
  </si>
  <si>
    <t>Computer Science, Artificial Intelligence; Engineering, Electrical &amp; Electronic; Operations Research &amp; Management Science</t>
  </si>
  <si>
    <t>Computer Science; Engineering; Operations Research &amp; Management Science</t>
  </si>
  <si>
    <t>QZ0A7</t>
  </si>
  <si>
    <t>WOS:001224561600001</t>
  </si>
  <si>
    <t>Li, Y; Liu, KB; Satapathy, R; Wang, SH; Cambria, E</t>
  </si>
  <si>
    <t>Li, Yang; Liu, Kangbo; Satapathy, Ranjan; Wang, Suhang; Cambria, Erik</t>
  </si>
  <si>
    <t>Recent Developments in Recommender Systems: A Survey</t>
  </si>
  <si>
    <t>IEEE COMPUTATIONAL INTELLIGENCE MAGAZINE</t>
  </si>
  <si>
    <t>Collaborative software; Recommender systems; Surveys; Taxonomy; Group recommendation; personalized recommendation; recommender system</t>
  </si>
  <si>
    <t>MODEL</t>
  </si>
  <si>
    <t>In this technical survey, the latest advancements in the field of recommender systems are comprehensively summarized. The objective of this study is to provide an overview of the current state-of-the-art in the field and highlight the latest trends in the development of recommender systems. It starts with a comprehensive summary of the main taxonomy of recommender systems, including personalized and group recommender systems. In addition, the survey analyzes the robustness, data bias, and fairness issues in recommender systems, summarizing the evaluation metrics used to assess the performance of these systems. Finally, it provides insights into the latest trends in the development of recommender systems and highlights the new directions for future research in the field.</t>
  </si>
  <si>
    <t>[Li, Yang; Liu, Kangbo] Northwestern Polytech Univ, Xian, Peoples R China; [Satapathy, Ranjan] ASTAR, Singapore, Singapore; [Wang, Suhang] Arizona State Univ, Tempe, AZ USA; [Cambria, Erik] Nanyang Technol Univ, Singapore, Singapore</t>
  </si>
  <si>
    <t>Northwestern Polytechnical University; Agency for Science Technology &amp; Research (A*STAR); Arizona State University; Arizona State University-Tempe; Nanyang Technological University</t>
  </si>
  <si>
    <t>Li, Y (corresponding author), Northwestern Polytech Univ, Xian, Peoples R China.</t>
  </si>
  <si>
    <t>liyangnpu@nwpu.edu.cn</t>
  </si>
  <si>
    <t>Wang, Suhang/AAH-1378-2019; Cambria, Erik/C-2103-2013; Li, Yang/U-9361-2017</t>
  </si>
  <si>
    <t>Wang, Suhang/0000-0003-3448-4878; Cambria, Erik/0000-0002-3030-1280; Li, Yang/0000-0001-5672-4110; Satapathy, Ranjan/0000-0002-0733-7381</t>
  </si>
  <si>
    <t>1556-603X</t>
  </si>
  <si>
    <t>1556-6048</t>
  </si>
  <si>
    <t>IEEE COMPUT INTELL M</t>
  </si>
  <si>
    <t>IEEE Comput. Intell. Mag.</t>
  </si>
  <si>
    <t>10.1109/MCI.2024.3363984</t>
  </si>
  <si>
    <t>Computer Science, Artificial Intelligence</t>
  </si>
  <si>
    <t>NK2E0</t>
  </si>
  <si>
    <t>WOS:001200273600002</t>
  </si>
  <si>
    <t>Zhang, SJ; Yuan, W; Yin, HZ</t>
  </si>
  <si>
    <t>Zhang, Shijie; Yuan, Wei; Yin, Hongzhi</t>
  </si>
  <si>
    <t>Comprehensive Privacy Analysis on Federated Recommender System Against Attribute Inference Attacks</t>
  </si>
  <si>
    <t>Data models; Privacy; Recommender systems; Differential privacy; Adaptation models; Servers; Solid modeling; Attribute inference attack; federated learning; local differential privacy; recommender system</t>
  </si>
  <si>
    <t>In recent years, recommender systems are crucially important for the delivery of personalized services that satisfy users' preferences. With personalized recommendation services, users can enjoy a variety of recommendations such as movies, books, ads, restaurants, and more. Despite the great benefits, personalized recommendations typically require the collection of personal data for user modelling and analysis, which can make users susceptible to attribute inference attacks. Specifically, the vulnerability of existing centralized recommenders under attribute inference attacks leaves malicious attackers a backdoor to infer users' private attributes, as the systems remember information of their training data (i.e., interaction data and side information). An emerging practice is to implement recommender systems in the federated setting, which enables all user devices to collaboratively learn a shared global recommender while keeping all the training data on device. However, the privacy issues in federated recommender systems have been rarely explored. In this paper, we first design a novel attribute inference attacker to perform a comprehensive privacy analysis of the GCN-based federated recommender models. The experimental results show that the vulnerability of each model component against attribute inference attack is varied, highlighting the need for new defense approaches. Therefore, we propose a novel adaptive privacy-preserving approach to protect users' sensitive data in the presence of attribute inference attacks and meanwhile maximize the recommendation accuracy. Extensive experimental results on two real-world datasets validate the superior performance of our model on both recommendation effectiveness and resistance to inference attacks.</t>
  </si>
  <si>
    <t>[Zhang, Shijie; Yuan, Wei; Yin, Hongzhi] Univ Queensland, Sch Informat Technol &amp; Elect Engn, Brisbane 4072, Australia</t>
  </si>
  <si>
    <t>University of Queensland</t>
  </si>
  <si>
    <t>Yin, HZ (corresponding author), Univ Queensland, Sch Informat Technol &amp; Elect Engn, Brisbane 4072, Australia.</t>
  </si>
  <si>
    <t>shijie.zhang@uq.edu.au; w.yuan@uq.edu.au; h.yin1@uq.edu.au</t>
  </si>
  <si>
    <t>Yuan, Wei/PKH-0596-2026; Zhang, Shijie/AAW-7058-2021; Yin, Hongzhi/AAP-2078-2020</t>
  </si>
  <si>
    <t>Yin, Hongzhi/0000-0003-1395-261X</t>
  </si>
  <si>
    <t>Australian Research Council Future Fellowship</t>
  </si>
  <si>
    <t>Australian Research Council Future Fellowship(Australian Research Council)</t>
  </si>
  <si>
    <t>No Statement Available</t>
  </si>
  <si>
    <t>10.1109/TKDE.2023.3295601</t>
  </si>
  <si>
    <t>IP1X2</t>
  </si>
  <si>
    <t>WOS:001167452200025</t>
  </si>
  <si>
    <t>Guo, QY; Zhuang, FZ; Qin, C; Zhu, HS; Xie, X; Xiong, H; He, Q</t>
  </si>
  <si>
    <t>Guo, Qingyu; Zhuang, Fuzhen; Qin, Chuan; Zhu, Hengshu; Xie, Xing; Xiong, Hui; He, Qing</t>
  </si>
  <si>
    <t>A Survey on Knowledge Graph-Based Recommender Systems</t>
  </si>
  <si>
    <t>Recommender systems; Motion pictures; Feature extraction; Avatars; Machine learning; Electronic mail; Blood; Knowledge graph; recommender system; explainable recommendation</t>
  </si>
  <si>
    <t>NETWORK</t>
  </si>
  <si>
    <t>To solve the information explosion problem and enhance user experience in various online applications, recommender systems have been developed to model users' preferences. Although numerous efforts have been made toward more personalized recommendations, recommender systems still suffer from several challenges, such as data sparsity and cold-start problems. In recent years, generating recommendations with the knowledge graph as side information has attracted considerable interest. Such an approach can not only alleviate the above mentioned issues for a more accurate recommendation, but also provide explanations for recommended items. In this paper, we conduct a systematical survey of knowledge graph-based recommender systems. We collect recently published papers in this field, and group them into three categories, i.e., embedding-based methods, connection-based methods, and propagation-based methods. Also, we further subdivide each category according to the characteristics of these approaches. Moreover, we investigate the proposed algorithms by focusing on how the papers utilize the knowledge graph for accurate and explainable recommendation. Finally, we propose several potential research directions in this field.</t>
  </si>
  <si>
    <t>[Guo, Qingyu; Zhuang, Fuzhen; He, Qing] Chinese Acad Sci, Inst Comp Technol, Key Lab Intelligent Informat Proc, Beijing 100190, Peoples R China; [Guo, Qingyu] Hong Kong Univ Sci &amp; Technol, Kowloon, Clearwater Bay, Hong Kong, Peoples R China; [Qin, Chuan] Univ Sci &amp; Technol China, Hefei 230052, Anhui, Peoples R China; [Qin, Chuan; Zhu, Hengshu] Baidu Inc, Baidu Talent Intelligence Ctr, Beijing 100085, Peoples R China; [Xie, Xing] Microsoft Res Asia, Beijing 100080, Peoples R China; [Xiong, Hui] Rutgers State Univ, New Brunswick, NJ 08901 USA</t>
  </si>
  <si>
    <t>Chinese Academy of Sciences; Institute of Computing Technology, CAS; Hong Kong University of Science &amp; Technology; Chinese Academy of Sciences; University of Science &amp; Technology of China, CAS; Baidu; Microsoft; Microsoft China; Microsoft Research Asia; Rutgers University System; Rutgers University New Brunswick</t>
  </si>
  <si>
    <t>Zhuang, FZ (corresponding author), Chinese Acad Sci, Inst Comp Technol, Key Lab Intelligent Informat Proc, Beijing 100190, Peoples R China.</t>
  </si>
  <si>
    <t>qguoag@connect.ust.hk; zhuangfuzhen@ict.ac.cn; chuanqin0426@gmail.com; zhuhengshu@gmail.com; xingx@microsoft.com; hxiong@rutgers.edu; heqing@ict.ac.cn</t>
  </si>
  <si>
    <t>Zhu, Hengshu/AAB-2816-2021; Qin, Chuanjiang/AAG-4482-2021; He, Qing/PAV-4583-2025</t>
  </si>
  <si>
    <t>Zhu, Hengshu/0000-0003-4570-643X; qin, chuan/0000-0002-5354-8630; Zhuang, Fuzhen/0000-0001-9170-7009; Xie, Xing/0009-0009-3257-3077;</t>
  </si>
  <si>
    <t>National Key Research and Development Program of China [2018YFB1004300]; National Natural Science Foundation of China [U1836206, U1811461, 61773361, 61836013, 71531001]; Project of Youth Innovation Promotion Association CAS [2017146]</t>
  </si>
  <si>
    <t>National Key Research and Development Program of China(National Key Research &amp; Development Program of ChinaNational Key Technology R&amp;D Program); National Natural Science Foundation of China(National Natural Science Foundation of China (NSFC)); Project of Youth Innovation Promotion Association CAS</t>
  </si>
  <si>
    <t>The research work was supported by the National Key Research and Development Program of China under Grant No. 2018YFB1004300, the National Natural Science Foundation of China under Grant No. U1836206, U1811461, 61773361, 61836013, 71531001, the Project of Youth Innovation Promotion Association CAS under Grant No. 2017146.</t>
  </si>
  <si>
    <t>AUG 1</t>
  </si>
  <si>
    <t>10.1109/TKDE.2020.3028705</t>
  </si>
  <si>
    <t>VL2UK</t>
  </si>
  <si>
    <t>Green Submitted</t>
  </si>
  <si>
    <t>WOS:000822377700001</t>
  </si>
  <si>
    <t>Roy, D; Dutta, M</t>
  </si>
  <si>
    <t>Roy, Deepjyoti; Dutta, Mala</t>
  </si>
  <si>
    <t>A systematic review and research perspective on recommender systems</t>
  </si>
  <si>
    <t>JOURNAL OF BIG DATA</t>
  </si>
  <si>
    <t>Recommender system; Machine learning; Content-based filtering; Collaborative filtering; Deep learning; Review</t>
  </si>
  <si>
    <t>MOVIE RECOMMENDATION; HYBRID; ONTOLOGY; INTERESTS; HEALTH; MODEL; VIDEO</t>
  </si>
  <si>
    <t>Recommender systems are efficient tools for filtering online information, which is widespread owing to the changing habits of computer users, personalization trends, and emerging access to the internet. Even though the recent recommender systems are eminent in giving precise recommendations, they suffer from various limitations and challenges like scalability, cold-start, sparsity, etc. Due to the existence of various techniques, the selection of techniques becomes a complex work while building application-focused recommender systems. In addition, each technique comes with its own set of features, advantages and disadvantages which raises even more questions, which should be addressed. This paper aims to undergo a systematic review on various recent contributions in the domain of recommender systems, focusing on diverse applications like books, movies, products, etc. Initially, the various applications of each recommender system are analysed. Then, the algorithmic analysis on various recommender systems is performed and a taxonomy is framed that accounts for various components required for developing an effective recommender system. In addition, the datasets gathered, simulation platform, and performance metrics focused on each contribution are evaluated and noted. Finally, this review provides a much-needed overview of the current state of research in this field and points out the existing gaps and challenges to help posterity in developing an efficient recommender system.</t>
  </si>
  <si>
    <t>[Roy, Deepjyoti; Dutta, Mala] Assam Down Town Univ, Dept Comp Sci &amp; Engn, Gauhati 781026, Assam, India</t>
  </si>
  <si>
    <t>Assam Down Town University</t>
  </si>
  <si>
    <t>Roy, D (corresponding author), Assam Down Town Univ, Dept Comp Sci &amp; Engn, Gauhati 781026, Assam, India.</t>
  </si>
  <si>
    <t>deepjyoti2roy@gmail.com</t>
  </si>
  <si>
    <t>; Roy, Deepjyoti/OJV-2950-2025; Dutta, Mala/HHC-5647-2022</t>
  </si>
  <si>
    <t>Roy, Deepjyoti/0000-0002-8020-7145;</t>
  </si>
  <si>
    <t>SPRINGERNATURE</t>
  </si>
  <si>
    <t>LONDON</t>
  </si>
  <si>
    <t>CAMPUS, 4 CRINAN ST, LONDON, N1 9XW, ENGLAND</t>
  </si>
  <si>
    <t>2196-1115</t>
  </si>
  <si>
    <t>J BIG DATA-GER</t>
  </si>
  <si>
    <t>J. Big Data</t>
  </si>
  <si>
    <t>MAY 3</t>
  </si>
  <si>
    <t>10.1186/s40537-022-00592-5</t>
  </si>
  <si>
    <t>Science Citation Index Expanded (SCI-EXPANDED); Social Science Citation Index (SSCI)</t>
  </si>
  <si>
    <t>0Y3BD</t>
  </si>
  <si>
    <t>gold</t>
  </si>
  <si>
    <t>WOS:000790266600001</t>
  </si>
  <si>
    <t>Stray, J; Halevy, A; Assar, P; Hadfield-Menell, D; Boutilier, C; Ashar, A; Bakalar, C; Beattie, L; Ekstrand, M; Leibowicz, C; Sehat, CM; Johansen, S; Kerlin, L; Vickrey, D; Singh, S; Vrijenhoek, S; Zhang, A; Andrus, M; Helberger, N; Proutskova, P; Mitra, T; Vasan, N</t>
  </si>
  <si>
    <t>Stray, Jonathan; Halevy, Alon; Assar, Parisa; Hadfield-Menell, Dylan; Boutilier, Craig; Ashar, Amar; Bakalar, Chloe; Beattie, Lex; Ekstrand, Michael; Leibowicz, Claire; Sehat, Connie Moon; Johansen, Sara; Kerlin, Lianne; Vickrey, David; Singh, Spandana; Vrijenhoek, Sanne; Zhang, Amy; Andrus, McKane; Helberger, Natali; Proutskova, Polina; Mitra, Tanushree; Vasan, Nina</t>
  </si>
  <si>
    <t>Building Human Values into Recommender Systems: An Interdisciplinary Synthesis</t>
  </si>
  <si>
    <t>Recommender systems; value-sensitive design; technology policy</t>
  </si>
  <si>
    <t>SOCIAL NETWORK SITES; INTERGROUP CONTACT; FACEBOOK FRIENDS; ONLINE; MEDIA; SCALE; NEWS; VALIDATION; VALIDITY; HEALTH</t>
  </si>
  <si>
    <t>Recommender systems are the algorithms which select, filter, and personalize content across many of the world's largest platforms and apps. As such, their positive and negative effects on individuals and on societies have been extensively theorized and studied. Our overarching question is how to ensure that recommender systems enact the values of the individuals and societies that they serve. Addressing this question a principled fashion requires technical knowledge of recommender design and operation, and also critically depends on insights from diverse fields including social science, ethics, economics, psychology, policy, and law. This article is a multidisciplinary effort to synthesize theory and practice from different perspectives, with the goal of providing a shared language, articulating current design approaches, and identifying open problems. We collect a set of values that seem most relevant to recommender systems operating across different domains, and then examine them from the perspectives of current industry practice, measurement, product design, and policy approaches. Important open problems include multi stakeholder processes for defining values and resolving trade-offs, better values-driven measurements, recommender controls that people use, non-behavioral algorithmic feedback, optimization for long-term outcomes, causal inference of recommender effects, academic-industry research collaborations, and interdisciplinary policy-making.</t>
  </si>
  <si>
    <t>[Stray, Jonathan] Univ Calif Berkeley, Ctr Human Compatible AI, Berkeley, CA 94720 USA; [Halevy, Alon] Meta AI, Sausalito, CA USA; [Assar, Parisa] Adobe Inc, Lehi, UT USA; [Hadfield-Menell, Dylan] MIT, Dept Elect Engn &amp; Comp Sci, Cambridge, MA USA; [Boutilier, Craig] Google Res, Mountain View, CA USA; [Ashar, Amar; Beattie, Lex] Spotify Inc, New York, NY USA; [Bakalar, Chloe; Vickrey, David; Singh, Spandana] Meta Inc, Cambridge, MA USA; [Ekstrand, Michael] Drexel Univ, Dept Informat Sci, Philadelphia, PA USA; [Leibowicz, Claire; Andrus, McKane] Partnership AI, San Francisco, CA USA; [Sehat, Connie Moon] Hacks Hackers, Washington, DC USA; [Johansen, Sara; Vasan, Nina] Stanford Univ, Dept Psychiat &amp; Behav Sci, Stanford, CA USA; [Kerlin, Lianne; Proutskova, Polina] BBC, London, England; [Vrijenhoek, Sanne; Helberger, Natali] Univ Amsterdam, Inst Informat Law, Amsterdam, Netherlands; [Zhang, Amy] Univ Washington, Allen Sch Comp Sci &amp; Engn, Seattle, WA USA; [Mitra, Tanushree] Univ Washington, Informat Sch, Washington, DC USA</t>
  </si>
  <si>
    <t>University of California System; University of California Berkeley; Adobe Systems Inc.; Massachusetts Institute of Technology (MIT); Alphabet Inc.; Google Incorporated; Spotify; Drexel University; Stanford University; University of Amsterdam; University of Washington; University of Washington Seattle; University of Washington</t>
  </si>
  <si>
    <t>Stray, J (corresponding author), Univ Calif Berkeley, Ctr Human Compatible AI, Berkeley, CA 94720 USA.</t>
  </si>
  <si>
    <t>jstray@berkeley.eu</t>
  </si>
  <si>
    <t>; Sehat, Connie Moon/JDV-6453-2023; Ekstrand, Michael/E-8744-2016; Beattie, Lex/MIJ-8560-2025; Proutskova, Polina/PBV-3543-2025</t>
  </si>
  <si>
    <t>Beattie, Alexana/0000-0003-3351-5951; Ashar, Amar/0009-0005-9200-1549;</t>
  </si>
  <si>
    <t>SEP</t>
  </si>
  <si>
    <t>10.1145/3632297</t>
  </si>
  <si>
    <t>IV1ZU</t>
  </si>
  <si>
    <t>Green Submitted, Bronze</t>
  </si>
  <si>
    <t>WOS:001781098300001</t>
  </si>
  <si>
    <t>Zangerle, E; Bauer, C</t>
  </si>
  <si>
    <t>Zangerle, Eva; Bauer, Christine</t>
  </si>
  <si>
    <t>Evaluating Recommender Systems: Survey and Framework</t>
  </si>
  <si>
    <t>Survey; Framework for EValuating Recommender systems; FEVR</t>
  </si>
  <si>
    <t>MATRIX FACTORIZATION; BEHAVIOR; PITFALLS; VALIDITY; FEEDBACK; METRICS; AGENTS</t>
  </si>
  <si>
    <t>The comprehensive evaluation of the performance of a recommender system is a complex endeavor: many facets need to be considered in configuring an adequate and effective evaluation setting. Such facets include, for instance, defining the specific goals of the evaluation, choosing an evaluation method, underlying data, and suitable evaluation metrics. In this article, we consolidate and systematically organize this dispersed knowledge on recommender systems evaluation. We introduce the Framework for Evaluating Recommender systems (FEVR), which we derive from the discourse on recommender systems evaluation. In FEVR, we categorize the evaluation space of recommender systems evaluation. We postulate that the comprehensive evaluation of a recommender system frequently requires considering multiple facets and perspectives in the evaluation. The FEVR framework provides a structured foundation to adopt adequate evaluation configurations that encompass this required multi-facetedness and provides the basis to advance in the field. We outline and discuss the challenges of a comprehensive evaluation of recommender systems and provide an outlook on what we need to embrace and do to move forward as a research community.</t>
  </si>
  <si>
    <t>[Zangerle, Eva] Univ Innsbruck, Technikerstr 21A, A-6020 Innsbruck, Austria; [Bauer, Christine] Univ Utrecht, Princetonpl 5, NL-3584 CC Utrecht, Netherlands</t>
  </si>
  <si>
    <t>University of Innsbruck; Utrecht University</t>
  </si>
  <si>
    <t>Zangerle, E (corresponding author), Univ Innsbruck, Technikerstr 21A, A-6020 Innsbruck, Austria.</t>
  </si>
  <si>
    <t>eva.zangerle@uibk.ac.at; c.bauer@uu.nl</t>
  </si>
  <si>
    <t>Zangerle, Eva/AAB-3833-2020; Bauer, Christine/J-7323-2019</t>
  </si>
  <si>
    <t>Zangerle, Eva/0000-0003-3195-8273; Bauer, Christine/0000-0001-5724-1137</t>
  </si>
  <si>
    <t>Austrian Science Fund (FWF) [P33526]; Austrian Science Fund (FWF) [P33526] Funding Source: Austrian Science Fund (FWF)</t>
  </si>
  <si>
    <t>Austrian Science Fund (FWF)(Austrian Science Fund (FWF)); Austrian Science Fund (FWF)(Austrian Science Fund (FWF)Instituto Politecnico Nacional - Mexico)</t>
  </si>
  <si>
    <t>This research was funded in whole, or in part, by the Austrian Science Fund (FWF): P33526.</t>
  </si>
  <si>
    <t>AUG</t>
  </si>
  <si>
    <t>10.1145/3556536</t>
  </si>
  <si>
    <t>7K7RL</t>
  </si>
  <si>
    <t>Green Submitted, hybrid</t>
  </si>
  <si>
    <t>WOS:000905475300018</t>
  </si>
  <si>
    <t>Zhou, C; Li, H; Leng, MM; Yu, J</t>
  </si>
  <si>
    <t>Zhou, Chi; Li, He; Leng, Mingming; Yu, Jing</t>
  </si>
  <si>
    <t>To adopt an online recommender system? A manufacturer's strategic choice in a dual-channel setting</t>
  </si>
  <si>
    <t>INTERNATIONAL JOURNAL OF PRODUCTION ECONOMICS</t>
  </si>
  <si>
    <t>Channel management; Recommender system; Pricing; Payment scheme; Game theory</t>
  </si>
  <si>
    <t>PRICE; COST; RETAILER</t>
  </si>
  <si>
    <t>The past years have witnessed the prosperity of online recommender systems. Some firms have utilized such systems to promote their products and services whereas others have not. To reveal the motivation to use recommender systems, we consider a dual channel setting in which a manufacturer sells his products to consumers in a direct-sale channel and also uses a wholesale channel to sell via an online retailer. The manufacturer decides on whether to use an online recommender system in the direct-sale channel or not, for both the case of the retailer's adoption of the recommendation system and the case of no recommendation in the wholesale channel. Considering both the cost-per-sale (CPS) and cost-per-click (CPC) payment schemes in the context of the recommender system, we examine whether it is optimal for the manufacturer to adopt the recommendation service under two distinct scenarios: when the retailer utilizes the recommender system and when the retailer does not. Our game-theoretic analysis exposes that, if the retailer does not adopt the recommender system under both the CPS and CPC payment schemes, then the manufacturer's system adoption decision depends on the recommendation strength and cost. We also find that the manufacturer can benefit from the CPS payment with a sufficiently low recommendation cost. When the retailer adopts the recommender system, the manufacturer's optimal strategy is to abandon the recommender system under any payment scheme, and the manufacturer reduces his wholesale price when the recommendation strength increases.</t>
  </si>
  <si>
    <t>[Zhou, Chi; Li, He; Yu, Jing] Tianjin Univ Technol, Sch Management, Tianjin 300384, Peoples R China; [Leng, Mingming] Lingnan Univ, Fac Business, Hong Kong, Peoples R China</t>
  </si>
  <si>
    <t>Tianjin University of Technology; Lingnan University</t>
  </si>
  <si>
    <t>Yu, J (corresponding author), Tianjin Univ Technol, Sch Management, Tianjin 300384, Peoples R China.</t>
  </si>
  <si>
    <t>czhou@tju.edu.cn; lh300384@163.com; mmleng@ln.edu.hk; yujing@tjut.edu.cn</t>
  </si>
  <si>
    <t>Zhou, Chi/AGL-2343-2022; LENG, Mingming/O-7640-2017</t>
  </si>
  <si>
    <t>Zhou, Chi/0000-0002-3267-6107; Yu, Jing/0000-0002-9550-1312; Li, He/0000-0003-4718-8859; LENG, Mingming/0000-0002-3377-2387</t>
  </si>
  <si>
    <t>Humanity and Social Science Foundation of Ministry of Education of China [23YJA630147]; National Natural Science Foundation of China [72301191]; Tianjin Philosophy and Social Science Planning Project [TJGL22-013]; Innovation Centre for Digital Business and Capital Development of Beijing Technology and Business University [SZSK202209]; Key Research Project on Open Topics of the Beijing Urban Governance Research Base [2024CSZL04]</t>
  </si>
  <si>
    <t>Humanity and Social Science Foundation of Ministry of Education of China; National Natural Science Foundation of China(National Natural Science Foundation of China (NSFC)); Tianjin Philosophy and Social Science Planning Project; Innovation Centre for Digital Business and Capital Development of Beijing Technology and Business University; Key Research Project on Open Topics of the Beijing Urban Governance Research Base</t>
  </si>
  <si>
    <t>This work is supported by the Humanity and Social Science Foundation of Ministry of Education of China (No. 23YJA630147) , National Natural Science Foundation of China (No. 72301191) , Tianjin Philosophy and Social Science Planning Project (No. TJGL22-013) , the Innovation Centre for Digital Business and Capital Development of Beijing Technology and Business University (No. SZSK202209) , Key Research Project on Open Topics of the Beijing Urban Governance Research Base (No. 2024CSZL04) .</t>
  </si>
  <si>
    <t>ELSEVIER</t>
  </si>
  <si>
    <t>AMSTERDAM</t>
  </si>
  <si>
    <t>RADARWEG 29, 1043 NX AMSTERDAM, NETHERLANDS</t>
  </si>
  <si>
    <t>0925-5273</t>
  </si>
  <si>
    <t>1873-7579</t>
  </si>
  <si>
    <t>INT J PROD ECON</t>
  </si>
  <si>
    <t>Int. J. Prod. Econ.</t>
  </si>
  <si>
    <t>10.1016/j.ijpe.2025.109677</t>
  </si>
  <si>
    <t>JUN 2025</t>
  </si>
  <si>
    <t>Engineering, Industrial; Engineering, Manufacturing; Operations Research &amp; Management Science</t>
  </si>
  <si>
    <t>Engineering; Operations Research &amp; Management Science</t>
  </si>
  <si>
    <t>3NU6M</t>
  </si>
  <si>
    <t>WOS:001504763300002</t>
  </si>
  <si>
    <t>Wu, Y; Cao, J; Xu, GD</t>
  </si>
  <si>
    <t>Wu, Yao; Cao, Jian; Xu, Guandong</t>
  </si>
  <si>
    <t>Fairness in Recommender Systems: Evaluation Approaches and Assurance Strategies</t>
  </si>
  <si>
    <t>ACM TRANSACTIONS ON KNOWLEDGE DISCOVERY FROM DATA</t>
  </si>
  <si>
    <t>Recommender system; fairness; survey</t>
  </si>
  <si>
    <t>INFORMATION</t>
  </si>
  <si>
    <t>With the wide application of recommender systems, the potential impacts of recommender systems on customers, item providers and other parties have attracted increasing attention. Fairness, which is the quality of treating people equally, is also becoming important in recommender system evaluation and algorithm design. Therefore, in the past years, there has been a growing interest in fairness measurement and assurance in recommender systems. Although there are several reviews on related topics, such as fairness inmachine learning and debias in recommender systems, they do not present a systematic view on fairness in recommender systems, which is context aware and has a multi-sided meaning. Therefore, in this review, the concept of fairness is discussed in detail in the various contexts of recommender systems. Specifically, a comprehensive framework to classify fairness metrics is proposed from four dimensions, i.e., Fairness forWhom, Demographic Unit, Time Frame, and Quantification Method. Then the strategies for eliminating unfairness in recommendations, fairness in different recommendation tasks and datasets are reviewed and summarized. Finally, the challenges and future work are discussed.</t>
  </si>
  <si>
    <t>[Wu, Yao; Cao, Jian] Shanghai Jiao Tong Univ, Dept Comp Sci &amp; Engn, Shanghai 200240, Peoples R China; [Xu, Guandong] Univ Technol Sydney, Fac Engn &amp; Informat Technol, Data Sci &amp; Machine Intelligence Lab, Sydney, NSW 2007, Australia</t>
  </si>
  <si>
    <t>Shanghai Jiao Tong University; University of Technology Sydney</t>
  </si>
  <si>
    <t>Cao, J (corresponding author), Shanghai Jiao Tong Univ, Dept Comp Sci &amp; Engn, Shanghai 200240, Peoples R China.</t>
  </si>
  <si>
    <t>wuyaoericyy@sjtu.edu.cn; cao-jian@sjtu.edu.cn; Guandong.Xu@uts.edu.au</t>
  </si>
  <si>
    <t>Xu, Guandong/HSH-3463-2023</t>
  </si>
  <si>
    <t>Xu, Guandong/0000-0003-4493-6663; Wu, Yao/0000-0002-5480-929X; BRENNINKMEYER, GERALD/0009-0001-2228-189X; Dieffenderfer, James/0009-0004-2680-7045; Wu, Yifan/0000-0002-4899-0192</t>
  </si>
  <si>
    <t>Program of Technology Innovation of the Science and Technology Commission of Shanghai Municipality [21511104700 a]; China National Science Foundation [62072301]</t>
  </si>
  <si>
    <t>Program of Technology Innovation of the Science and Technology Commission of Shanghai Municipality; China National Science Foundation(National Natural Science Foundation of China (NSFC))</t>
  </si>
  <si>
    <t>This work is partially supported by the Program of Technology Innovation of the Science and Technology Commission of Shanghai Municipality (Grant No. 21511104700 a). This work is also partitally supported by China National Science Foundation (Grant Number 62072301).</t>
  </si>
  <si>
    <t>1556-4681</t>
  </si>
  <si>
    <t>1556-472X</t>
  </si>
  <si>
    <t>ACM T KNOWL DISCOV D</t>
  </si>
  <si>
    <t>ACM Trans. Knowl. Discov. Data</t>
  </si>
  <si>
    <t>JAN</t>
  </si>
  <si>
    <t>10.1145/3604558</t>
  </si>
  <si>
    <t>Computer Science, Information Systems; Computer Science, Software Engineering</t>
  </si>
  <si>
    <t>W5WK8</t>
  </si>
  <si>
    <t>WOS:001092326600010</t>
  </si>
  <si>
    <t>Chronis, C; Varlamis, I; Himeur, Y; Sayed, AN; AL-Hasan, TM; Nhlabatsi, A; Bensaali, F; Dimitrakopoulos, G</t>
  </si>
  <si>
    <t>Chronis, Christos; Varlamis, Iraklis; Himeur, Yassine; Sayed, Aya N.; AL-Hasan, Tamim M.; Nhlabatsi, Armstrong; Bensaali, Faycal; Dimitrakopoulos, George</t>
  </si>
  <si>
    <t>A Survey on the use of Federated Learning in Privacy-Preserving Recommender Systems</t>
  </si>
  <si>
    <t>IEEE OPEN JOURNAL OF THE COMPUTER SOCIETY</t>
  </si>
  <si>
    <t>Recommender systems; Data privacy; Surveys; Security; Privacy; Federated learning; Computer architecture; federated learning (FL); privacy-preserving techniques; distributed learning</t>
  </si>
  <si>
    <t>CHALLENGES</t>
  </si>
  <si>
    <t>In the age of information overload, recommender systems have emerged as essential tools, assisting users in decision-making processes by offering personalized suggestions. However, their effectiveness is contingent on the availability of large amounts of user data, raising significant privacy and security concerns. This review article presents an extended analysis of recommender systems, elucidating their importance and the growing apprehensions regarding privacy and data security. Federated Learning (FL), a privacy-preserving machine learning approach, is introduced as a potential solution to these challenges. Consequently, the potential benefits and implications of integrating FL with recommender systems are explored and an overview of FL, its types, and key components, are provided. Further, the privacy-preserving techniques inherent to FL are discussed, demonstrating how they contribute to secure recommender systems. By illustrating case studies and significant research contributions, the article showcases the practical feasibility and benefits of combining FL with recommender systems. Despite the promising benefits, challenges, and limitations exist in the practical deployment of FL in recommender systems. This review outlines these hurdles, bringing to light the security considerations crucial in this context and offering a balanced perspective. In conclusion, the article signifies the potential of FL in transforming recommender systems, paving the path for future research directions in this intersection of technologies.</t>
  </si>
  <si>
    <t>[Chronis, Christos; Varlamis, Iraklis; Dimitrakopoulos, George] Harokopio Univ Athens, Dept Informat &amp; Telemat, Kallithea 17676, Greece; [Himeur, Yassine; AL-Hasan, Tamim M.; Bensaali, Faycal] Qatar Univ, Coll Engn, Dept Elect Engn, Doha 2713, Qatar; [Sayed, Aya N.; Nhlabatsi, Armstrong] Qatar Univ, Coll Engn, KINDI Comp Res Ctr, Doha 2713, Qatar</t>
  </si>
  <si>
    <t>Harokopio University Athens; Qatar University; Qatar University</t>
  </si>
  <si>
    <t>Chronis, C (corresponding author), Harokopio Univ Athens, Dept Informat &amp; Telemat, Kallithea 17676, Greece.</t>
  </si>
  <si>
    <t>chronis@hua.gr</t>
  </si>
  <si>
    <t>; Varlamis, Iraklis/Q-9191-2018; Bensaali, Faycal/AFS-0521-2022; Himeur, Yassine/AAK-7814-2021; Nhlabatsi, Armstrong/KDP-3641-2024</t>
  </si>
  <si>
    <t>Chronis, Christos/0000-0002-2768-7119; Varlamis, Iraklis/0000-0002-0876-8167; Bensaali, Faycal/0000-0002-9273-4735; Himeur, Yassine/0000-0001-8904-5587; Sayed, Aya Nabil/0000-0001-6141-5785; Al Hasan, Tamim Mahmud/0000-0002-9927-4305;</t>
  </si>
  <si>
    <t>National Priorities Research Programme</t>
  </si>
  <si>
    <t>2644-1268</t>
  </si>
  <si>
    <t>IEEE OPEN J COMP SOC</t>
  </si>
  <si>
    <t>IEEE Open J. Comput. Soc.</t>
  </si>
  <si>
    <t>10.1109/OJCS.2024.3396344</t>
  </si>
  <si>
    <t>Computer Science, Hardware &amp; Architecture; Computer Science, Information Systems; Computer Science, Interdisciplinary Applications; Computer Science, Theory &amp; Methods; Engineering, Electrical &amp; Electronic</t>
  </si>
  <si>
    <t>QY4D6</t>
  </si>
  <si>
    <t>Green Submitted, gold</t>
  </si>
  <si>
    <t>WOS:001224407700001</t>
  </si>
  <si>
    <t>Saifudin, I; Widiyaningtyas, T</t>
  </si>
  <si>
    <t>Saifudin, Ilham; Widiyaningtyas, Triyanna</t>
  </si>
  <si>
    <t>Systematic Literature Review on Recommender System: Approach, Problem, Evaluation Techniques, Datasets</t>
  </si>
  <si>
    <t>IEEE ACCESS</t>
  </si>
  <si>
    <t>Content-based filtering; collaborative filtering; hybrid filtering; systematic literature review; recommender system</t>
  </si>
  <si>
    <t>Recommender systems become essential with the presence of the internet and social media. The perceived benefits of the recommender system can make it easier for users to find suitable products and recommend other products, specifically with lots of information. Recommender systems continue to develop over time. It has led many researchers to continue to find the latest approach and evaluation techniques by comparing the performance of previously existing recommender systems. The main approaches that are often used in recommender systems are Content-Based Filtering (CBF), Collaborative Filtering (CF), and Hybrid Filtering (HBF). This time, we focus on conducting a Systematic Literature Review (SLR) of several research articles and analyzing methods for algorithms developed in building recommender systems. The SLR method consists of three stages: planning, implementation, and reporting. The research used as a comparison is between 2019 and 2023 using various existing data sets. There were 72 primary studies, of which 46 employed the Collaborative Filtering approach, 11 used Content-Based filtering, and 15 used Hybrid Filtering. The results of this SLR process show the advantages and disadvantages of each method and type of evaluation developed in building a recommender system. Apart from that, several challenges arise with various existing problems. However, the model-based collaborative filtering method is one method that can minimize the problems of cold start, data sparsity, and scalability.</t>
  </si>
  <si>
    <t>[Saifudin, Ilham; Widiyaningtyas, Triyanna] Univ Negeri Malang, Dept Elect Engn &amp; Informat, Malang 65145, Indonesia; [Saifudin, Ilham] Univ Muhammadiyah Jember, Engn Fac, Informat Engn, Jember Regency 68121, Indonesia</t>
  </si>
  <si>
    <t>Universitas Negeri Malang; Universitas Muhammadiyah Jember</t>
  </si>
  <si>
    <t>Widiyaningtyas, T (corresponding author), Univ Negeri Malang, Dept Elect Engn &amp; Informat, Malang 65145, Indonesia.</t>
  </si>
  <si>
    <t>geethamr@gmail.com</t>
  </si>
  <si>
    <t>Widiyaningtyas, Triyanna/AFR-1093-2022; Saifudin, Ilham/GNW-2697-2022</t>
  </si>
  <si>
    <t>Saifudin, Ilham/0000-0002-2063-4524</t>
  </si>
  <si>
    <t>Doctoral Study Program in Electrical Engineering and Informatics and the Research and Publication Center of the Universitas Negeri Malang (UM)</t>
  </si>
  <si>
    <t>2169-3536</t>
  </si>
  <si>
    <t>IEEE Access</t>
  </si>
  <si>
    <t>10.1109/ACCESS.2024.3359274</t>
  </si>
  <si>
    <t>Computer Science, Information Systems; Engineering, Electrical &amp; Electronic; Telecommunications</t>
  </si>
  <si>
    <t>Computer Science; Engineering; Telecommunications</t>
  </si>
  <si>
    <t>HQ5U9</t>
  </si>
  <si>
    <t>WOS:001160994200001</t>
  </si>
  <si>
    <t>Di, YC; Shi, HJ; Ma, RH; Gao, HH; Liu, Y; Wang, WY</t>
  </si>
  <si>
    <t>Di, Yicheng; Shi, Hongjian; Ma, Ruhui; Gao, Honghao; Liu, Yuan; Wang, Weiyu</t>
  </si>
  <si>
    <t>FedRL: A Reinforcement Learning Federated Recommender System for Efficient Communication Using Reinforcement Selector and Hypernet Generator</t>
  </si>
  <si>
    <t>Additional Key Words and Phrases; Federated learning; hypernetwork; reinforcement learning; federated recommender system; attention mechanism</t>
  </si>
  <si>
    <t>The field of recommender systems aims to predict users' latent interests by analyzing their preferences and behaviors. However, privacy concerns about user data collection lead to challenges such as incomplete initial information and data sparsity. Federated learning has emerged to address these privacy issues in recommender systems. However, federated recommender systems face heterogeneity among edge devices regarding data features and sample sizes. Moreover, differences in computational and storage capabilities introduce communication overhead and processing delays during parameter aggregation at the third-party server. This article introduces a framework named FedRL, a reinforcement learning federated recommender system for efficient communication using Reinforcement Selector and Hypernet Generator, to address the proposed issues. The Reinforcement Selector dynamically selects participating edge devices and helps to maximize their use of local data resources. Meanwhile, Hypernet Generator optimizes communication bandwidth consumption during the federated learning parameter transmission, enabling rapid deployment and updates of new model architectures or hyperparameters. Furthermore, the framework incorporates item attributes as content embeddings in edge devices' recommender models, enriching them with global information. Real-world dataset experiments demonstrate that the proposed solution balances recommender quality and communication efficiency. The code for this work is publicly available on GitHub: https://github.com/diyicheng/FedRL.</t>
  </si>
  <si>
    <t>[Di, Yicheng] Jiangnan Univ, Sch Artificial Intelligence &amp; Comp Sci, Wuxi, Jiangsu, Peoples R China; [Shi, Hongjian; Ma, Ruhui] Shanghai Jiao Tong Univ, Sch Elect Informat &amp; Elect Engn, Shanghai, Peoples R China; [Gao, Honghao] Shanghai Univ, Shanghai, Peoples R China; [Liu, Yuan] Jiangnan Univ, Wuxi, Jiangsu, Peoples R China; [Wang, Weiyu] Rutgers State Univ, New Brunswick, NJ USA</t>
  </si>
  <si>
    <t>Jiangnan University; Shanghai Jiao Tong University; Shanghai University; Jiangnan University; Rutgers University System; Rutgers University New Brunswick</t>
  </si>
  <si>
    <t>diyicheng@stu.jiangnan.edu.cn; shhjwu5@sjtu.edu.cn; ruhuima@sjtu.edu.cn; gaohonghao@shu.edu.cn; lyuan1800@jiangnan.edu.cn; Ww367@rutgers.edu</t>
  </si>
  <si>
    <t>di, yicheng/HSG-8779-2023</t>
  </si>
  <si>
    <t>National Natural Science Foundation of China [61972182]</t>
  </si>
  <si>
    <t>National Natural Science Foundation of China(National Natural Science Foundation of China (NSFC))</t>
  </si>
  <si>
    <t>This research was funded by the National Natural Science Foundation of China under grant number 61972182.</t>
  </si>
  <si>
    <t>10.1145/3682076</t>
  </si>
  <si>
    <t>IT7AE</t>
  </si>
  <si>
    <t>WOS:001780080200001</t>
  </si>
  <si>
    <t>Chen, XC; Yao, LN; McAuley, J; Zhou, GL; Wang, XZ</t>
  </si>
  <si>
    <t>Chen, Xiaocong; Yao, Lina; McAuley, Julian; Zhou, Guanglin; Wang, Xianzhi</t>
  </si>
  <si>
    <t>Deep reinforcement learning in recommender systems: A survey and new perspectives</t>
  </si>
  <si>
    <t>KNOWLEDGE-BASED SYSTEMS</t>
  </si>
  <si>
    <t>Deep reinforcement learning; Deep learning; Recommender systems</t>
  </si>
  <si>
    <t>In light of the emergence of deep reinforcement learning (DRL) in recommender systems research and several fruitful results in recent years, this survey aims to provide a timely and comprehensive overview of recent trends of deep reinforcement learning in recommender systems. We start by motivating the application of DRL in recommender systems, followed by a taxonomy of current DRLbased recommender systems and a summary of existing methods. We discuss emerging topics, open issues, and provide our perspective on advancing the domain. The survey serves as introductory material for readers from academia and industry to the topic and identifies notable opportunities for further research. (c) 2023 The Author(s). Published by Elsevier B.V. This is an open access article under the CC BY-NC-ND</t>
  </si>
  <si>
    <t>[Chen, Xiaocong; Yao, Lina; Zhou, Guanglin] Univ New South Wales, Sydney, NSW, Australia; [McAuley, Julian] Univ Calif San Diego, San Diego, CA USA; [Wang, Xianzhi] Univ Technol Sydney, Sydney, NSW, Australia; [Yao, Lina] CSIRO, Data 61, Canberra, Australia</t>
  </si>
  <si>
    <t>University of New South Wales Sydney; University of California System; University of California San Diego; University of Technology Sydney; Commonwealth Scientific &amp; Industrial Research Organisation (CSIRO)</t>
  </si>
  <si>
    <t>Chen, XC; Yao, LN (corresponding author), Univ New South Wales, Sydney, NSW, Australia.</t>
  </si>
  <si>
    <t>xiaocong.chen@unsw.edu.au; lina.yao@unsw.edu.au</t>
  </si>
  <si>
    <t>Yao, Lina/LFU-4900-2024; Chen, Xiaocong/ACV-9415-2022</t>
  </si>
  <si>
    <t>Zhou, Guanglin/0000-0002-1305-2622; McAuley, Julian/0000-0003-0955-7588; Chen, Xiaocong/0000-0002-8849-4943</t>
  </si>
  <si>
    <t>0950-7051</t>
  </si>
  <si>
    <t>1872-7409</t>
  </si>
  <si>
    <t>KNOWL-BASED SYST</t>
  </si>
  <si>
    <t>Knowledge-Based Syst.</t>
  </si>
  <si>
    <t>MAR 15</t>
  </si>
  <si>
    <t>10.1016/j.knosys.2023.110335</t>
  </si>
  <si>
    <t>FEB 2023</t>
  </si>
  <si>
    <t>8W8UL</t>
  </si>
  <si>
    <t>hybrid</t>
  </si>
  <si>
    <t>WOS:000931600600001</t>
  </si>
  <si>
    <t>Mehta, R; Mishra, S; Saha, S</t>
  </si>
  <si>
    <t>Mehta, Rachana; Mishra, Shakti; Saha, Snehanshu</t>
  </si>
  <si>
    <t>Onto Proximality in Non Negative Matrix Factorization for Recommender Systems</t>
  </si>
  <si>
    <t>Recommender systems; Optimization; Matrix decomposition; Adaptation models; Linear programming; Stochastic processes; Dimensionality reduction; Analytical models; Accuracy; Principal component analysis; Lipschitz continuity; nonnegative matrix factorization; recommender systems; singular value decomposition; stochastic proximal gradient descent</t>
  </si>
  <si>
    <t>THRESHOLDING ALGORITHM; GRADIENT DESCENT</t>
  </si>
  <si>
    <t>Recommender Systems have become integral to most e-commerce applications and online platforms. The recommended suggestions heavily impact customer retention and business performance. One of the essential parameters in large-scale recommender systems is the time required to present a recommendation. The more time it takes, the more it loses the customer's attention and interest. It is currently necessary for recommenders to be time-efficient and optimal. Collaborative filtering-based Matrix Factorization approaches have proven to be powerful for recommender systems. The standard approach uses the Singular Value Decomposition-based recommender systems with Gradient Descent optimizer and its advanced variants. These models provide good accuracy for recommenders. However, they are time-intensive. To alleviate these issues, the proximal gradient descent optimizer-based Nonnegative Matrix Factorization model is adapted for recommender systems to improve their performance in terms of time and accuracy. There has been no research on integrating proximal descent models in Nonnegative matrix factorization for recommender systems. These novel adaptations are analyzed with six other baseline recommender models on two datasets. The experimental analysis proves that these novel recommender models are the preferable choice for online recommenders and work well when the data is not smooth.</t>
  </si>
  <si>
    <t>[Mehta, Rachana; Mishra, Shakti] Pandit Deendayal Energy Univ, Sch Technol, Comp Sci &amp; Engn Dept, Gandhinagar 382007, India; [Mehta, Rachana] Nirma Univ, Inst Technol, Comp Sci &amp; Engn Dept, Ahmadabad 382481, India; [Saha, Snehanshu] BITS Pilani, Dept Comp Sci &amp; Informat Syst, KK Birla Goa Campus, Zuarinagar 403726, Goa, India; [Saha, Snehanshu] BITS Pilani, APPCAIR, KK Birla Goa Campus, Zuarinagar 403726, Goa, India</t>
  </si>
  <si>
    <t>Pandit Deendayal Energy University; Nirma University; Birla Institute of Technology &amp; Science Pilani (BITS Pilani); Birla Institute of Technology &amp; Science Pilani (BITS Pilani)</t>
  </si>
  <si>
    <t>Mehta, R (corresponding author), Pandit Deendayal Energy Univ, Sch Technol, Comp Sci &amp; Engn Dept, Gandhinagar 382007, India.;Mehta, R (corresponding author), Nirma Univ, Inst Technol, Comp Sci &amp; Engn Dept, Ahmadabad 382481, India.</t>
  </si>
  <si>
    <t>rachana.mphd20@sot.pdpu.ac.in</t>
  </si>
  <si>
    <t>Saha, Snehanshu/R-1028-2018; Mehta, Rachana/ABA-9841-2020</t>
  </si>
  <si>
    <t>Saha, Snehanshu/0000-0002-8458-604X; Mehta, Rachana/0000-0001-9683-6643</t>
  </si>
  <si>
    <t>10.1109/ACCESS.2025.3557945</t>
  </si>
  <si>
    <t>1TK1L</t>
  </si>
  <si>
    <t>WOS:001473215600036</t>
  </si>
  <si>
    <t>Benleulmi, M; Gasmi, I; Azizi, N; Dey, N</t>
  </si>
  <si>
    <t>Benleulmi, Maroua; Gasmi, Ibtissem; Azizi, Nabiha; Dey, Nilanjan</t>
  </si>
  <si>
    <t>Explainable AI and deep learning models for recommender systems: State of the art and challenges</t>
  </si>
  <si>
    <t>JOURNAL OF UNIVERSAL COMPUTER SCIENCE</t>
  </si>
  <si>
    <t>Recommender systems; deep learning; XAI; benchmark dataset</t>
  </si>
  <si>
    <t>NETWORK; REPRESENTATION</t>
  </si>
  <si>
    <t>Recommender systems have a pivotal function in delivering customized and pertinent suggestions to clients on the basis of their preferences and activities. The present paper presents a thorough overview of deep learning-based recommender systems, explores their application to enhance performance, and overcomes limitations. The survey encompasses fundamental models of recommender systems; moreover, it also delves into key deep learning models. This discussion focuses on the effective integration of deep learning techniques into recommender systems. Real-world applications highlight the effectiveness of these approaches in capturing complex and nonlinear patterns from large-scale data. This paper concludes by reflecting on challenges encountered in this research field and outlines potential future directions, offering valuable insights for academics and professionals in the field of recommender systems based on deep learning.</t>
  </si>
  <si>
    <t>[Benleulmi, Maroua; Gasmi, Ibtissem] Chadli Bendjedid Tarf Univ, Comp Sci &amp; Appl Math Lab, El Tarf, Algeria; [Azizi, Nabiha] Badji Mokhtar Annaba Univ, Comp Sci Dept, Labged Lab, Annaba, Algeria; [Dey, Nilanjan] Techno Int New Town, Dept Comp Sci &amp; Engn, Kolkata 700156, India</t>
  </si>
  <si>
    <t>Universite Badji Mokhtar - Annaba</t>
  </si>
  <si>
    <t>Benleulmi, M (corresponding author), Chadli Bendjedid Tarf Univ, Comp Sci &amp; Appl Math Lab, El Tarf, Algeria.</t>
  </si>
  <si>
    <t>m.benleulmi@univ-eltarf.dz; gasmi-ibtissem@univ-eltarf.dz; nabiha.azizi@univ-annaba.dz; nilanjan.dey@tint.edu.in</t>
  </si>
  <si>
    <t>; Gasmi, Ibtissem/IQW-1982-2023; Dey, Nilanjan/OTH-7828-2025; Azizi, Nabiha/GYU-8970-2022</t>
  </si>
  <si>
    <t>Benleulmi, Maroua/0009-0000-4310-4676; Gasmi, Ibtissem/0000-0002-8939-1727;</t>
  </si>
  <si>
    <t>GRAZ UNIV TECHNOLGOY, INST INFORMATION SYSTEMS COMPUTER MEDIA-IICM</t>
  </si>
  <si>
    <t>GRAZ</t>
  </si>
  <si>
    <t>INFFELDGASSE 16C, GRAZ, A-8010, AUSTRIA</t>
  </si>
  <si>
    <t>0948-695X</t>
  </si>
  <si>
    <t>0948-6968</t>
  </si>
  <si>
    <t>J UNIVERS COMPUT SCI</t>
  </si>
  <si>
    <t>J. Univers. Comput. Sci.</t>
  </si>
  <si>
    <t>10.3897/jucs.122380</t>
  </si>
  <si>
    <t>Computer Science, Software Engineering; Computer Science, Theory &amp; Methods</t>
  </si>
  <si>
    <t>1AT9P</t>
  </si>
  <si>
    <t>WOS:001460585800005</t>
  </si>
  <si>
    <t>Satinet, C; Ducarroz, C; Fouss, F</t>
  </si>
  <si>
    <t>Satinet, Chloe; Ducarroz, Caroline; Fouss, Francois</t>
  </si>
  <si>
    <t>Understanding the impact of sustainability-oriented recommender systems on consumers' choices</t>
  </si>
  <si>
    <t>ELECTRONIC COMMERCE RESEARCH AND APPLICATIONS</t>
  </si>
  <si>
    <t>Buying behaviour; Nudge; Recommender systems; Sustainable consumption</t>
  </si>
  <si>
    <t>PERSONALIZED PRODUCT RECOMMENDATIONS; DECISION-MAKING; SCALE; ADVERTISEMENTS; INTRUSIVENESS; SATISFACTION; INVOLVEMENT; SKEPTICISM; REACTANCE; AGENTS</t>
  </si>
  <si>
    <t>Recommender systems have long been employed by e-commerce platforms to boost revenue by tailoring product suggestions to consumer preferences. Recommender systems aimed at advancing broader societal goals, such as encouraging consumers to choose more sustainable products, by prioritising them in the recommendations, are beginning to emerge. While extant research has covered the effects of traditional recommender systems on consumer behaviour, research on the effectiveness and mechanisms of sustainability-oriented systems remains limited. Building upon recommender system and nudging theory, we analyse in this paper how sustainabilityoriented recommender systems impact consumer choices compared to traditional recommender systems or the absence of recommendations. Through a lab-controlled experiment featuring three conditions (traditional, sustainability-oriented, and no recommendations) in a simulated online store created by the authors for the experiment, we examine both behavioural outcomes and underlying mechanisms. Our findings reveal that sustainability-oriented recommender systems significantly increase the purchase of sustainable products by enhancing interest in and desire for these items and reducing the effort required to find them. Importantly, these systems do not affect the overall quantity of products purchased. However, we also found that these systems amplify the perception of being overwhelmed by sustainability messaging. This research shows practitioners the potential of sustainability-oriented recommender systems to encourage sustainable consumption while maintaining business objectives, offering a pathway to align sustainability with profitability goals.</t>
  </si>
  <si>
    <t>[Satinet, Chloe; Ducarroz, Caroline; Fouss, Francois] UCLouvain, Louvain Res Inst Management &amp; Org LouRIM, Mons, Belgium</t>
  </si>
  <si>
    <t>Satinet, C (corresponding author), Chaussee de Binche 151, B-7000 Mons, Belgium.</t>
  </si>
  <si>
    <t>chloe.satinet@uclouvain.be; caroline.ducarroz@uclouvain.be; francois.fouss@uclouvain.be</t>
  </si>
  <si>
    <t>Satinet, Chloe/0000-0001-8448-7239; DUCARROZ, Caroline/0009-0007-5422-5570</t>
  </si>
  <si>
    <t>1567-4223</t>
  </si>
  <si>
    <t>1873-7846</t>
  </si>
  <si>
    <t>ELECTRON COMMER R A</t>
  </si>
  <si>
    <t>Electron. Commer. Res. Appl.</t>
  </si>
  <si>
    <t>NOV-DEC</t>
  </si>
  <si>
    <t>10.1016/j.elerap.2025.101540</t>
  </si>
  <si>
    <t>SEP 2025</t>
  </si>
  <si>
    <t>Business; Computer Science, Information Systems; Computer Science, Interdisciplinary Applications</t>
  </si>
  <si>
    <t>Business &amp; Economics; Computer Science</t>
  </si>
  <si>
    <t>7AN0E</t>
  </si>
  <si>
    <t>WOS:001566412000001</t>
  </si>
  <si>
    <t>Li, SW; Guo, HF; Tang, X; Tang, RM; Hou, L; Li, RX; Zhang, R</t>
  </si>
  <si>
    <t>Li, Shiwei; Guo, Huifeng; Tang, Xing; Tang, Ruiming; Hou, Lu; Li, Ruixuan; Zhang, Rui</t>
  </si>
  <si>
    <t>Embedding Compression in Recommender Systems: A Survey</t>
  </si>
  <si>
    <t>recommender systems; embedding tables; model compression; survey</t>
  </si>
  <si>
    <t>To alleviate the problem of information explosion, recommender systems are widely deployed to provide personalized information filtering services. Usually, embedding tables are employed in recommender systems to transform high-dimensional sparse one-hot vectors into dense real-valued embeddings. However, the embedding tables are huge and account for most of the parameters in industrial-scale recommender systems. In order to reduce memory costs and improve efficiency, various approaches are proposed to compress the embedding tables. In this survey, we provide a comprehensive review of embedding compression approaches in recommender systems. We first introduce deep learning recommendation models and the basic concept of embedding compression in recommender systems. Subsequently, we systematically organize existing approaches into three categories: low precision, mixed dimension, and weight sharing. Lastly, we summarize the survey with some general suggestions and provide future prospects for this field.</t>
  </si>
  <si>
    <t>[Li, Shiwei; Li, Ruixuan] Huazhong Univ Sci &amp; Technol, Wuhan 430074, Peoples R China; [Guo, Huifeng; Tang, Xing; Hou, Lu] Huawei Noahs Ark Lab, Shenzhen 518129, Peoples R China; [Tang, Xing] Tencent, Shenzhen 518054, Peoples R China</t>
  </si>
  <si>
    <t>Huazhong University of Science &amp; Technology; Huawei Technologies; Tencent</t>
  </si>
  <si>
    <t>Li, RX (corresponding author), Huazhong Univ Sci &amp; Technol, Wuhan 430074, Peoples R China.</t>
  </si>
  <si>
    <t>lishiwei@hust.edu.cn; huifeng.guo@huawei.com; xing.tang@hotmail.com; tangruiming@huawei.com; houlu3@huawei.com; rxli@hust.edu.cn; rayteam@yeah.net</t>
  </si>
  <si>
    <t>; Zhang, Rui/PMQ-9428-2026; Tang, Xing/PAU-0782-2025; Li, Shiwei/LIA-9040-2024; Li, Ruixuan/HIR-8367-2022</t>
  </si>
  <si>
    <t>Tang, Ruiming/0000-0002-9224-2431; Hou, Lu/0000-0002-4694-1821; Guo, Huifeng/0000-0002-7393-8994; Li, Shiwei/0000-0002-7067-0275; Li, Ruixuan/0000-0002-7791-5511</t>
  </si>
  <si>
    <t>National Natural Science Foundation of China [62376103, 62302184, 62206102]; Science and Technology Support Program of Hubei Province [2022BAA046]</t>
  </si>
  <si>
    <t>National Natural Science Foundation of China(National Natural Science Foundation of China (NSFC)); Science and Technology Support Program of Hubei Province</t>
  </si>
  <si>
    <t>This work is supported in part by the National Natural Science Foundation of China (grant nos. 62376103, 62302184, and 62206102) and the Science and Technology Support Program of Hubei Province (grant no. 2022BAA046).</t>
  </si>
  <si>
    <t>10.1145/3637841</t>
  </si>
  <si>
    <t>IT3Q7</t>
  </si>
  <si>
    <t>WOS:001168549500023</t>
  </si>
  <si>
    <t>Uta, M; Felfernig, A; Le, VM; Tran, TNT; Garber, D; Lubos, S; Burgstaller, T</t>
  </si>
  <si>
    <t>Uta, Mathias; Felfernig, Alexander; Le, Viet-Man; Tran, Thi Ngoc Trang; Garber, Damian; Lubos, Sebastian; Burgstaller, Tamim</t>
  </si>
  <si>
    <t>Knowledge-based recommender systems: overview and research directions</t>
  </si>
  <si>
    <t>FRONTIERS IN BIG DATA</t>
  </si>
  <si>
    <t>recommender systems; semantic recommender systems; knowledge-based recommender systems; case-based recommendation; constraint-based recommendation; critiquing-based recommendation; constraint solving; model-based diagnosis</t>
  </si>
  <si>
    <t>DIAGNOSIS</t>
  </si>
  <si>
    <t>Recommender systems are decision support systems that help users to identify items of relevance from a potentially large set of alternatives. In contrast to the mainstream recommendation approaches of collaborative filtering and content-based filtering, knowledge-based recommenders exploit semantic user preference knowledge, item knowledge, and recommendation knowledge, to identify user-relevant items which is of specific relevance when dealing with complex and high-involvement items. Such recommenders are primarily applied in scenarios where users specify (and revise) their preferences, and related recommendations are determined on the basis of constraints or attribute-level similarity metrics. In this article, we provide an overview of the existing state-of-the-art in knowledge-based recommender systems. Different related recommendation techniques are explained on the basis of a working example from the domain of survey software services. On the basis of our analysis, we outline different directions for future research.</t>
  </si>
  <si>
    <t>[Uta, Mathias] Siemens Energy AG, Erlangen, Germany; [Felfernig, Alexander; Le, Viet-Man; Tran, Thi Ngoc Trang; Garber, Damian; Lubos, Sebastian; Burgstaller, Tamim] Graz Univ Technol, Inst Software Technol IST, Graz, Austria; [Felfernig, Alexander; Le, Viet-Man; Tran, Thi Ngoc Trang; Garber, Damian; Lubos, Sebastian; Burgstaller, Tamim] Graz Univ Technol, Appl Software Engn &amp; Ai Res Grp ASE, Graz, Austria</t>
  </si>
  <si>
    <t>Siemens Energy; Graz University of Technology; Graz University of Technology</t>
  </si>
  <si>
    <t>Uta, M (corresponding author), Siemens Energy AG, Erlangen, Germany.</t>
  </si>
  <si>
    <t>mathias.uta@siemens-energy.com</t>
  </si>
  <si>
    <t>; Lê Viết, Mẫn/KHE-3635-2024; Uta, Mathias/IWD-6119-2023; Lubos, Sebastian/MTA-1093-2025</t>
  </si>
  <si>
    <t>Garber, Damian/0009-0005-0993-0911; Lê Viết, Mẫn/0000-0001-5778-975X; Burgstaller, Tamim/0009-0007-4522-8497; Lubos, Sebastian/0000-0002-5024-3786</t>
  </si>
  <si>
    <t>TU Graz, Internationale Beziehungen und Mobilittsprogramme10.13039/100008332</t>
  </si>
  <si>
    <t>FRONTIERS MEDIA SA</t>
  </si>
  <si>
    <t>LAUSANNE</t>
  </si>
  <si>
    <t>AVENUE DU TRIBUNAL FEDERAL 34, LAUSANNE, CH-1015, SWITZERLAND</t>
  </si>
  <si>
    <t>2624-909X</t>
  </si>
  <si>
    <t>FRONT BIG DATA</t>
  </si>
  <si>
    <t>Front. Big Data</t>
  </si>
  <si>
    <t>FEB 26</t>
  </si>
  <si>
    <t>10.3389/fdata.2024.1304439</t>
  </si>
  <si>
    <t>Computer Science, Information Systems; Computer Science, Interdisciplinary Applications; Multidisciplinary Sciences</t>
  </si>
  <si>
    <t>Computer Science; Science &amp; Technology - Other Topics</t>
  </si>
  <si>
    <t>KE5F2</t>
  </si>
  <si>
    <t>WOS:001178287500001</t>
  </si>
  <si>
    <t>Bhatt, SM; Verbert, K; Van Den Noortgate, W</t>
  </si>
  <si>
    <t>Bhatt, Sohum M.; Verbert, Katrien; Van Den Noortgate, Wim</t>
  </si>
  <si>
    <t>Teacher-centric educational recommender systems in K12 practice: Usage and evaluation</t>
  </si>
  <si>
    <t>HELIYON</t>
  </si>
  <si>
    <t>Data science applications in education; Elementary education; Improving classroom teaching; Secondary education</t>
  </si>
  <si>
    <t>KNOWLEDGE</t>
  </si>
  <si>
    <t>Personalized learning is hard to apply in classroom practice due to the workload of teachers. Recommender systems can help teachers make choices and hence personalize the learning environment. However, few studies have investigated how teachers use recommender systems in their practice. Educational recommender systems also require more investigation into how teachers assess recommendations to provide better systems in the future. Therefore, this research aimed to provide a better insight into the practical application of a teacher-centric educational recommender system, conduct a user-centric evaluation of the recommender system, and present teacher beliefs on the use of educational recommender systems for personalized learning. Our results indicated that teachers similarly used the recommender system by creating new lessons rather than adapting suggested lessons. Their evaluations of the recommender system highlighted the importance of accuracy and utility. Diversity and serendipity were considered to be less important. Teachers perceived recommender systems as a first step to personalized learning and as a tool for simplifying such learning. However, the current system did not affect the quality of personalized learning. Based on these results, we propose to focus more on accuracy and utility as opposed to diversity and serendipity for teacher-centric recommender system evaluation. For personalized learning, we conclude that, according to teachers, recommender systems can lead to more effective personalization by allowing teachers to focus on student needs.</t>
  </si>
  <si>
    <t>[Bhatt, Sohum M.; Van Den Noortgate, Wim] Katholieke Univ Leuven, Fac Psychol &amp; Educ Sci, Leuven, Belgium; [Bhatt, Sohum M.; Van Den Noortgate, Wim] Katholieke Univ Leuven, Imec Res Grp Itec, Leuven, Belgium; [Verbert, Katrien] Katholieke Univ Leuven, Dept Comp Sci, Human &amp; Comp Interact Grp, Leuven, Belgium</t>
  </si>
  <si>
    <t>KU Leuven; KU Leuven; KU Leuven</t>
  </si>
  <si>
    <t>Bhatt, SM (corresponding author), Katholieke Univ Leuven, Fac Psychol &amp; Educ Sci, Leuven, Belgium.;Bhatt, SM (corresponding author), Katholieke Univ Leuven, Imec Res Grp Itec, Leuven, Belgium.</t>
  </si>
  <si>
    <t>sohummandar.bhatt@kuleuven.be</t>
  </si>
  <si>
    <t>Van den Noortgate, Wim/AAB-5969-2020; Verbert, Katrien/PCR-8752-2025</t>
  </si>
  <si>
    <t>Flanders Agency of Innovation &amp; Entrepreneurship [AH.2019.05]</t>
  </si>
  <si>
    <t>Flanders Agency of Innovation &amp; Entrepreneurship</t>
  </si>
  <si>
    <t>Funding This work was supported in part by the Flanders Agency of Innovation &amp; Entrepreneurship under grant number AH.2019.05. Declaration of competing interest</t>
  </si>
  <si>
    <t>CELL PRESS</t>
  </si>
  <si>
    <t>CAMBRIDGE</t>
  </si>
  <si>
    <t>50 HAMPSHIRE ST, FLOOR 5, CAMBRIDGE, MA 02139 USA</t>
  </si>
  <si>
    <t>2405-8440</t>
  </si>
  <si>
    <t>Heliyon</t>
  </si>
  <si>
    <t>JAN 30</t>
  </si>
  <si>
    <t>e42012</t>
  </si>
  <si>
    <t>10.1016/j.heliyon.2025.e42012</t>
  </si>
  <si>
    <t>Multidisciplinary Sciences</t>
  </si>
  <si>
    <t>Science &amp; Technology - Other Topics</t>
  </si>
  <si>
    <t>II8NW</t>
  </si>
  <si>
    <t>WOS:001772721700001</t>
  </si>
  <si>
    <t>Ayemowa, MO; Ibrahim, R; Khan, MM</t>
  </si>
  <si>
    <t>Ayemowa, Matthew O.; Ibrahim, Roliana; Khan, Muhammad Murad</t>
  </si>
  <si>
    <t>Analysis of Recommender System Using Generative Artificial Intelligence: A Systematic Literature Review</t>
  </si>
  <si>
    <t>Recommender systems; Generative AI; Artificial intelligence; Systematics; Surveys; Generative adversarial networks; Recommender system; generative AI; traditional recommender systems</t>
  </si>
  <si>
    <t>ADVERSARIAL NETWORKS</t>
  </si>
  <si>
    <t>Recommender Systems (RSs), which generate personalized content, have become a technological tool with diverse applications for users. While numerous RSs have been proposed and successfully implemented across various domains, traditional AI-based RSs still encounter certain challenges, such as data sparsity, cold start, and diversity. Generative Artificial Intelligence in recommender systems is a recent advancement used by platforms like Netflix, Spotify, and Amazon to recommend items, news, videos, audios, goods, and services to their customers/users or to personalize experiences for their customers/users. The main purpose of this review is to compare traditional AI-based recommender systems with generative AI-based recommender systems. A total of fifty-two (52) papers, published between 2019 and February 2024, were selected from six major online libraries. To get a more comprehensive understanding of the selected study, we reviewed the selected studies techniques, and the models, datasets, and metrics used. Our systematic review reveals that generative AI models, such as generative adversarial networks (GANs), variational autoencoder (VAEs) and autoencoders have been widely used in recommender systems and they perform better than traditional AI techniques. Among the 30 datasets analyzed, MovieLens was the most frequently used, accounting for 33%, while Amazon datasets accounted for 11%, Recall and RSME are the most commonly used metrics. Our literature review offers understandings into the Generative AI techniques used across different recommender systems and provides suggestions for the future research. Finally, we elaborated on open issues and discussed current and future trends in generative AI-based recommendation systems.</t>
  </si>
  <si>
    <t>[Ayemowa, Matthew O.; Ibrahim, Roliana] Univ Teknol Malaysia, Fac Comp, Johor Baharu 80000, Johor, Malaysia; [Ayemowa, Matthew O.] Gateway ICT Polytech, Dept Comp Sci, Ishara 121116, Ogun, Nigeria; [Khan, Muhammad Murad] Govt Coll Univ Faisalabad, Dept Comp Sci, Faisalabad 38000, Pakistan</t>
  </si>
  <si>
    <t>Universiti Teknologi Malaysia; Government College University Faisalabad</t>
  </si>
  <si>
    <t>Ayemowa, MO; Ibrahim, R (corresponding author), Univ Teknol Malaysia, Fac Comp, Johor Baharu 80000, Johor, Malaysia.;Ayemowa, MO (corresponding author), Gateway ICT Polytech, Dept Comp Sci, Ishara 121116, Ogun, Nigeria.;Khan, MM (corresponding author), Govt Coll Univ Faisalabad, Dept Comp Sci, Faisalabad 38000, Pakistan.</t>
  </si>
  <si>
    <t>ayemowa@graduate.utm.my; roliana@utm.my; muhammadmurad@gcuf.edu.pk</t>
  </si>
  <si>
    <t>Khan, Muhammad Murad/IVV-6372-2023; Ayemowa, Matthew/OLQ-1635-2025</t>
  </si>
  <si>
    <t>Khan, Muhammad Murad/0000-0002-2472-6186;</t>
  </si>
  <si>
    <t>10.1109/ACCESS.2024.3416962</t>
  </si>
  <si>
    <t>WZ9G1</t>
  </si>
  <si>
    <t>WOS:001258809600001</t>
  </si>
  <si>
    <t>Li, WS; Zhong, H; Zhou, JM; Chang, C; Lin, RH; Tang, Y</t>
  </si>
  <si>
    <t>Li, Weisheng; Zhong, Hao; Zhou, Junming; Chang, Chao; Lin, Ronghua; Tang, Yong</t>
  </si>
  <si>
    <t>An attention mechanism and residual network based knowledge graph-enhanced recommender system</t>
  </si>
  <si>
    <t>Knowledge graph; Recommender system; Residual network; Attention mechanism</t>
  </si>
  <si>
    <t>Recommender systems enhanced by a knowledge graph (KG) have attained widespread popularity and attention in recent years. However, traditional KG -based recommender systems encounter the challenge gradient explosion as the network depth increases. Additionally, the abundance of unreliable paths in KG has a detrimental impact on feature representation learning. In this article, we propose a KG -enhanced recommender system based on residual network and attention mechanism, which can capture high -order connectivity and long-range dependencies of the KG. Specifically, a resource allocation approach is employed to calculate the resource amount, which is subsequently utilized to evaluate the path reliability of the KG. After completing path extraction, we employ an attention mechanism to capture semantic correlations and structural information. To leverage the KG for enhancing recommender systems, we design a deep residual network with shortcut connections, effectively amalgamating advanced and abstract features using deep neural networks. The introduction of shortcut connections not only facilitates the fitting of residual mappings but also mitigates potential issues such as gradient explosion and convergence difficulties due to excessive network depth. Extensive experiments conducted on three standard datasets over baseline methods have demonstrated the superiority of our proposed recommender system.</t>
  </si>
  <si>
    <t>[Li, Weisheng; Zhong, Hao; Zhou, Junming; Lin, Ronghua; Tang, Yong] South China Normal Univ, Sch Comp Sci, Guangzhou 510631, Peoples R China; [Li, Weisheng; Zhong, Hao; Chang, Chao; Lin, Ronghua; Tang, Yong] Pazhou Lab, Guangzhou 510330, Peoples R China; [Chang, Chao] Guangzhou Panyu Polytech, Sch Informat Engn, Guangzhou 511483, Peoples R China</t>
  </si>
  <si>
    <t>South China Normal University; Pazhou Lab; Guangzhou Polytechnic University</t>
  </si>
  <si>
    <t>Tang, Y (corresponding author), South China Normal Univ, Sch Comp Sci, Guangzhou 510631, Peoples R China.</t>
  </si>
  <si>
    <t>liws@m.scnu.edu.cn; hzhong@m.scnu.edu.cn; zhoujunming@m.scnu.edu.cn; changchao@m.scnu.edu.cn; rhlin@m.scnu.edu.cn; ytang@m.scnu.edu.cn</t>
  </si>
  <si>
    <t>; Chang, Chao/AEL-6102-2022; Li, Weisheng/JWA-5577-2024</t>
  </si>
  <si>
    <t>Tang, Yong/0000-0002-9812-0742; Lin, Ronghua/0000-0002-8003-570X; Zhong, Hao/0000-0001-8960-5521; Chang, Chao/0000-0003-1139-4781; Li, Weisheng/0009-0009-9760-8541</t>
  </si>
  <si>
    <t>National Key Research Development Program of China [2023YFC3341200]; National Natural Foundation of China [62377015]; Research Cultivation Fund for The Youth Teachers of South China Normal [23KJ29]; Scientific Research Innovation of Graduate School of South China Normal University [2024KYLX068]</t>
  </si>
  <si>
    <t>National Key Research Development Program of China(National Key Research &amp; Development Program of ChinaNational Key Technology R&amp;D Program); National Natural Foundation of China(National Natural Science Foundation of China (NSFC)); Research Cultivation Fund for The Youth Teachers of South China Normal; Scientific Research Innovation of Graduate School of South China Normal University</t>
  </si>
  <si>
    <t>This work is supported in part by the National Key Research Development Program of China (Research and Demonstration of Key Technologies for Personalized Learning Driven by Educational Big Data) under Grant 2023YFC3341200, the National Natural Foundation of China under Grant 62377015, the Research Cultivation Fund for The Youth Teachers of South China Normal under Grant 23KJ29, and the Scientific Research Innovation of Graduate School of South China Normal University under 2024KYLX068.</t>
  </si>
  <si>
    <t>SEP 5</t>
  </si>
  <si>
    <t>10.1016/j.knosys.2024.112042</t>
  </si>
  <si>
    <t>JUN 2024</t>
  </si>
  <si>
    <t>WV9V1</t>
  </si>
  <si>
    <t>WOS:001257773700001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</si>
</sst>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74B0-1BA6-42B1-9724-98C55D3E1579}">
  <dimension ref="A1:BT31"/>
  <sheetViews>
    <sheetView tabSelected="1" workbookViewId="0"/>
  </sheetViews>
  <sheetFormatPr defaultRowHeight="13.2" x14ac:dyDescent="0.25"/>
  <sheetData>
    <row r="1" spans="1:7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5">
      <c r="A2" t="s">
        <v>72</v>
      </c>
      <c r="B2" t="s">
        <v>73</v>
      </c>
      <c r="C2" t="s">
        <v>74</v>
      </c>
      <c r="D2" t="s">
        <v>74</v>
      </c>
      <c r="E2" t="s">
        <v>74</v>
      </c>
      <c r="F2" t="s">
        <v>75</v>
      </c>
      <c r="G2" t="s">
        <v>74</v>
      </c>
      <c r="H2" t="s">
        <v>74</v>
      </c>
      <c r="I2" t="s">
        <v>76</v>
      </c>
      <c r="J2" t="s">
        <v>77</v>
      </c>
      <c r="K2" t="s">
        <v>74</v>
      </c>
      <c r="L2" t="s">
        <v>74</v>
      </c>
      <c r="M2" t="s">
        <v>78</v>
      </c>
      <c r="N2" t="s">
        <v>79</v>
      </c>
      <c r="O2" t="s">
        <v>74</v>
      </c>
      <c r="P2" t="s">
        <v>74</v>
      </c>
      <c r="Q2" t="s">
        <v>74</v>
      </c>
      <c r="R2" t="s">
        <v>74</v>
      </c>
      <c r="S2" t="s">
        <v>74</v>
      </c>
      <c r="T2" t="s">
        <v>80</v>
      </c>
      <c r="U2" t="s">
        <v>74</v>
      </c>
      <c r="V2" t="s">
        <v>81</v>
      </c>
      <c r="W2" t="s">
        <v>82</v>
      </c>
      <c r="X2" t="s">
        <v>83</v>
      </c>
      <c r="Y2" t="s">
        <v>84</v>
      </c>
      <c r="Z2" t="s">
        <v>85</v>
      </c>
      <c r="AA2" t="s">
        <v>86</v>
      </c>
      <c r="AB2" t="s">
        <v>87</v>
      </c>
      <c r="AC2" t="s">
        <v>88</v>
      </c>
      <c r="AD2" t="s">
        <v>89</v>
      </c>
      <c r="AE2" t="s">
        <v>90</v>
      </c>
      <c r="AF2" t="s">
        <v>74</v>
      </c>
      <c r="AG2">
        <v>79</v>
      </c>
      <c r="AH2">
        <v>75</v>
      </c>
      <c r="AI2">
        <v>75</v>
      </c>
      <c r="AJ2">
        <v>13</v>
      </c>
      <c r="AK2">
        <v>54</v>
      </c>
      <c r="AL2" t="s">
        <v>91</v>
      </c>
      <c r="AM2" t="s">
        <v>92</v>
      </c>
      <c r="AN2" t="s">
        <v>93</v>
      </c>
      <c r="AO2" t="s">
        <v>94</v>
      </c>
      <c r="AP2" t="s">
        <v>95</v>
      </c>
      <c r="AQ2" t="s">
        <v>74</v>
      </c>
      <c r="AR2" t="s">
        <v>96</v>
      </c>
      <c r="AS2" t="s">
        <v>97</v>
      </c>
      <c r="AT2" t="s">
        <v>98</v>
      </c>
      <c r="AU2">
        <v>2025</v>
      </c>
      <c r="AV2">
        <v>43</v>
      </c>
      <c r="AW2">
        <v>2</v>
      </c>
      <c r="AX2" t="s">
        <v>74</v>
      </c>
      <c r="AY2" t="s">
        <v>74</v>
      </c>
      <c r="AZ2" t="s">
        <v>74</v>
      </c>
      <c r="BA2" t="s">
        <v>74</v>
      </c>
      <c r="BB2" t="s">
        <v>74</v>
      </c>
      <c r="BC2" t="s">
        <v>74</v>
      </c>
      <c r="BD2">
        <v>31</v>
      </c>
      <c r="BE2" t="s">
        <v>99</v>
      </c>
      <c r="BF2" t="str">
        <f>HYPERLINK("http://dx.doi.org/10.1145/3688570","http://dx.doi.org/10.1145/3688570")</f>
        <v>http://dx.doi.org/10.1145/3688570</v>
      </c>
      <c r="BG2" t="s">
        <v>74</v>
      </c>
      <c r="BH2" t="s">
        <v>74</v>
      </c>
      <c r="BI2">
        <v>36</v>
      </c>
      <c r="BJ2" t="s">
        <v>100</v>
      </c>
      <c r="BK2" t="s">
        <v>101</v>
      </c>
      <c r="BL2" t="s">
        <v>102</v>
      </c>
      <c r="BM2" t="s">
        <v>103</v>
      </c>
      <c r="BN2" t="s">
        <v>74</v>
      </c>
      <c r="BO2" t="s">
        <v>104</v>
      </c>
      <c r="BP2" t="s">
        <v>74</v>
      </c>
      <c r="BQ2" t="s">
        <v>74</v>
      </c>
      <c r="BR2" t="s">
        <v>105</v>
      </c>
      <c r="BS2" t="s">
        <v>106</v>
      </c>
      <c r="BT2" t="str">
        <f>HYPERLINK("https%3A%2F%2Fwww.webofscience.com%2Fwos%2Fwoscc%2Ffull-record%2FWOS:001431073600001","View Full Record in Web of Science")</f>
        <v>View Full Record in Web of Science</v>
      </c>
    </row>
    <row r="3" spans="1:72" x14ac:dyDescent="0.25">
      <c r="A3" t="s">
        <v>72</v>
      </c>
      <c r="B3" t="s">
        <v>107</v>
      </c>
      <c r="C3" t="s">
        <v>74</v>
      </c>
      <c r="D3" t="s">
        <v>74</v>
      </c>
      <c r="E3" t="s">
        <v>74</v>
      </c>
      <c r="F3" t="s">
        <v>108</v>
      </c>
      <c r="G3" t="s">
        <v>74</v>
      </c>
      <c r="H3" t="s">
        <v>74</v>
      </c>
      <c r="I3" t="s">
        <v>109</v>
      </c>
      <c r="J3" t="s">
        <v>110</v>
      </c>
      <c r="K3" t="s">
        <v>74</v>
      </c>
      <c r="L3" t="s">
        <v>74</v>
      </c>
      <c r="M3" t="s">
        <v>78</v>
      </c>
      <c r="N3" t="s">
        <v>79</v>
      </c>
      <c r="O3" t="s">
        <v>74</v>
      </c>
      <c r="P3" t="s">
        <v>74</v>
      </c>
      <c r="Q3" t="s">
        <v>74</v>
      </c>
      <c r="R3" t="s">
        <v>74</v>
      </c>
      <c r="S3" t="s">
        <v>74</v>
      </c>
      <c r="T3" t="s">
        <v>111</v>
      </c>
      <c r="U3" t="s">
        <v>74</v>
      </c>
      <c r="V3" t="s">
        <v>112</v>
      </c>
      <c r="W3" t="s">
        <v>113</v>
      </c>
      <c r="X3" t="s">
        <v>114</v>
      </c>
      <c r="Y3" t="s">
        <v>115</v>
      </c>
      <c r="Z3" t="s">
        <v>116</v>
      </c>
      <c r="AA3" t="s">
        <v>117</v>
      </c>
      <c r="AB3" t="s">
        <v>118</v>
      </c>
      <c r="AC3" t="s">
        <v>74</v>
      </c>
      <c r="AD3" t="s">
        <v>74</v>
      </c>
      <c r="AE3" t="s">
        <v>74</v>
      </c>
      <c r="AF3" t="s">
        <v>74</v>
      </c>
      <c r="AG3">
        <v>209</v>
      </c>
      <c r="AH3">
        <v>2455</v>
      </c>
      <c r="AI3">
        <v>2849</v>
      </c>
      <c r="AJ3">
        <v>43</v>
      </c>
      <c r="AK3">
        <v>801</v>
      </c>
      <c r="AL3" t="s">
        <v>91</v>
      </c>
      <c r="AM3" t="s">
        <v>92</v>
      </c>
      <c r="AN3" t="s">
        <v>93</v>
      </c>
      <c r="AO3" t="s">
        <v>119</v>
      </c>
      <c r="AP3" t="s">
        <v>120</v>
      </c>
      <c r="AQ3" t="s">
        <v>74</v>
      </c>
      <c r="AR3" t="s">
        <v>121</v>
      </c>
      <c r="AS3" t="s">
        <v>122</v>
      </c>
      <c r="AT3" t="s">
        <v>123</v>
      </c>
      <c r="AU3">
        <v>2019</v>
      </c>
      <c r="AV3">
        <v>52</v>
      </c>
      <c r="AW3">
        <v>1</v>
      </c>
      <c r="AX3" t="s">
        <v>74</v>
      </c>
      <c r="AY3" t="s">
        <v>74</v>
      </c>
      <c r="AZ3" t="s">
        <v>74</v>
      </c>
      <c r="BA3" t="s">
        <v>74</v>
      </c>
      <c r="BB3" t="s">
        <v>74</v>
      </c>
      <c r="BC3" t="s">
        <v>74</v>
      </c>
      <c r="BD3">
        <v>5</v>
      </c>
      <c r="BE3" t="s">
        <v>124</v>
      </c>
      <c r="BF3" t="str">
        <f>HYPERLINK("http://dx.doi.org/10.1145/3285029","http://dx.doi.org/10.1145/3285029")</f>
        <v>http://dx.doi.org/10.1145/3285029</v>
      </c>
      <c r="BG3" t="s">
        <v>74</v>
      </c>
      <c r="BH3" t="s">
        <v>74</v>
      </c>
      <c r="BI3">
        <v>38</v>
      </c>
      <c r="BJ3" t="s">
        <v>125</v>
      </c>
      <c r="BK3" t="s">
        <v>101</v>
      </c>
      <c r="BL3" t="s">
        <v>102</v>
      </c>
      <c r="BM3" t="s">
        <v>126</v>
      </c>
      <c r="BN3" t="s">
        <v>74</v>
      </c>
      <c r="BO3" t="s">
        <v>74</v>
      </c>
      <c r="BP3" t="s">
        <v>74</v>
      </c>
      <c r="BQ3" t="s">
        <v>74</v>
      </c>
      <c r="BR3" t="s">
        <v>105</v>
      </c>
      <c r="BS3" t="s">
        <v>127</v>
      </c>
      <c r="BT3" t="str">
        <f>HYPERLINK("https%3A%2F%2Fwww.webofscience.com%2Fwos%2Fwoscc%2Ffull-record%2FWOS:000460376800005","View Full Record in Web of Science")</f>
        <v>View Full Record in Web of Science</v>
      </c>
    </row>
    <row r="4" spans="1:72" x14ac:dyDescent="0.25">
      <c r="A4" t="s">
        <v>72</v>
      </c>
      <c r="B4" t="s">
        <v>128</v>
      </c>
      <c r="C4" t="s">
        <v>74</v>
      </c>
      <c r="D4" t="s">
        <v>74</v>
      </c>
      <c r="E4" t="s">
        <v>74</v>
      </c>
      <c r="F4" t="s">
        <v>129</v>
      </c>
      <c r="G4" t="s">
        <v>74</v>
      </c>
      <c r="H4" t="s">
        <v>74</v>
      </c>
      <c r="I4" t="s">
        <v>130</v>
      </c>
      <c r="J4" t="s">
        <v>131</v>
      </c>
      <c r="K4" t="s">
        <v>74</v>
      </c>
      <c r="L4" t="s">
        <v>74</v>
      </c>
      <c r="M4" t="s">
        <v>78</v>
      </c>
      <c r="N4" t="s">
        <v>79</v>
      </c>
      <c r="O4" t="s">
        <v>74</v>
      </c>
      <c r="P4" t="s">
        <v>74</v>
      </c>
      <c r="Q4" t="s">
        <v>74</v>
      </c>
      <c r="R4" t="s">
        <v>74</v>
      </c>
      <c r="S4" t="s">
        <v>74</v>
      </c>
      <c r="T4" t="s">
        <v>132</v>
      </c>
      <c r="U4" t="s">
        <v>74</v>
      </c>
      <c r="V4" t="s">
        <v>133</v>
      </c>
      <c r="W4" t="s">
        <v>134</v>
      </c>
      <c r="X4" t="s">
        <v>135</v>
      </c>
      <c r="Y4" t="s">
        <v>136</v>
      </c>
      <c r="Z4" t="s">
        <v>137</v>
      </c>
      <c r="AA4" t="s">
        <v>138</v>
      </c>
      <c r="AB4" t="s">
        <v>139</v>
      </c>
      <c r="AC4" t="s">
        <v>140</v>
      </c>
      <c r="AD4" t="s">
        <v>141</v>
      </c>
      <c r="AE4" t="s">
        <v>142</v>
      </c>
      <c r="AF4" t="s">
        <v>74</v>
      </c>
      <c r="AG4">
        <v>157</v>
      </c>
      <c r="AH4">
        <v>202</v>
      </c>
      <c r="AI4">
        <v>231</v>
      </c>
      <c r="AJ4">
        <v>68</v>
      </c>
      <c r="AK4">
        <v>262</v>
      </c>
      <c r="AL4" t="s">
        <v>143</v>
      </c>
      <c r="AM4" t="s">
        <v>144</v>
      </c>
      <c r="AN4" t="s">
        <v>145</v>
      </c>
      <c r="AO4" t="s">
        <v>146</v>
      </c>
      <c r="AP4" t="s">
        <v>147</v>
      </c>
      <c r="AQ4" t="s">
        <v>74</v>
      </c>
      <c r="AR4" t="s">
        <v>148</v>
      </c>
      <c r="AS4" t="s">
        <v>149</v>
      </c>
      <c r="AT4" t="s">
        <v>150</v>
      </c>
      <c r="AU4">
        <v>2024</v>
      </c>
      <c r="AV4">
        <v>36</v>
      </c>
      <c r="AW4">
        <v>11</v>
      </c>
      <c r="AX4" t="s">
        <v>74</v>
      </c>
      <c r="AY4" t="s">
        <v>74</v>
      </c>
      <c r="AZ4" t="s">
        <v>74</v>
      </c>
      <c r="BA4" t="s">
        <v>74</v>
      </c>
      <c r="BB4">
        <v>6889</v>
      </c>
      <c r="BC4">
        <v>6907</v>
      </c>
      <c r="BD4" t="s">
        <v>74</v>
      </c>
      <c r="BE4" t="s">
        <v>151</v>
      </c>
      <c r="BF4" t="str">
        <f>HYPERLINK("http://dx.doi.org/10.1109/TKDE.2024.3392335","http://dx.doi.org/10.1109/TKDE.2024.3392335")</f>
        <v>http://dx.doi.org/10.1109/TKDE.2024.3392335</v>
      </c>
      <c r="BG4" t="s">
        <v>74</v>
      </c>
      <c r="BH4" t="s">
        <v>74</v>
      </c>
      <c r="BI4">
        <v>19</v>
      </c>
      <c r="BJ4" t="s">
        <v>152</v>
      </c>
      <c r="BK4" t="s">
        <v>101</v>
      </c>
      <c r="BL4" t="s">
        <v>153</v>
      </c>
      <c r="BM4" t="s">
        <v>154</v>
      </c>
      <c r="BN4" t="s">
        <v>74</v>
      </c>
      <c r="BO4" t="s">
        <v>74</v>
      </c>
      <c r="BP4" t="s">
        <v>74</v>
      </c>
      <c r="BQ4" t="s">
        <v>74</v>
      </c>
      <c r="BR4" t="s">
        <v>105</v>
      </c>
      <c r="BS4" t="s">
        <v>155</v>
      </c>
      <c r="BT4" t="str">
        <f>HYPERLINK("https%3A%2F%2Fwww.webofscience.com%2Fwos%2Fwoscc%2Ffull-record%2FWOS:001336378400083","View Full Record in Web of Science")</f>
        <v>View Full Record in Web of Science</v>
      </c>
    </row>
    <row r="5" spans="1:72" x14ac:dyDescent="0.25">
      <c r="A5" t="s">
        <v>72</v>
      </c>
      <c r="B5" t="s">
        <v>156</v>
      </c>
      <c r="C5" t="s">
        <v>74</v>
      </c>
      <c r="D5" t="s">
        <v>74</v>
      </c>
      <c r="E5" t="s">
        <v>74</v>
      </c>
      <c r="F5" t="s">
        <v>157</v>
      </c>
      <c r="G5" t="s">
        <v>74</v>
      </c>
      <c r="H5" t="s">
        <v>74</v>
      </c>
      <c r="I5" t="s">
        <v>158</v>
      </c>
      <c r="J5" t="s">
        <v>159</v>
      </c>
      <c r="K5" t="s">
        <v>74</v>
      </c>
      <c r="L5" t="s">
        <v>74</v>
      </c>
      <c r="M5" t="s">
        <v>78</v>
      </c>
      <c r="N5" t="s">
        <v>79</v>
      </c>
      <c r="O5" t="s">
        <v>74</v>
      </c>
      <c r="P5" t="s">
        <v>74</v>
      </c>
      <c r="Q5" t="s">
        <v>74</v>
      </c>
      <c r="R5" t="s">
        <v>74</v>
      </c>
      <c r="S5" t="s">
        <v>74</v>
      </c>
      <c r="T5" t="s">
        <v>160</v>
      </c>
      <c r="U5" t="s">
        <v>161</v>
      </c>
      <c r="V5" t="s">
        <v>162</v>
      </c>
      <c r="W5" t="s">
        <v>163</v>
      </c>
      <c r="X5" t="s">
        <v>83</v>
      </c>
      <c r="Y5" t="s">
        <v>164</v>
      </c>
      <c r="Z5" t="s">
        <v>165</v>
      </c>
      <c r="AA5" t="s">
        <v>166</v>
      </c>
      <c r="AB5" t="s">
        <v>167</v>
      </c>
      <c r="AC5" t="s">
        <v>168</v>
      </c>
      <c r="AD5" t="s">
        <v>89</v>
      </c>
      <c r="AE5" t="s">
        <v>169</v>
      </c>
      <c r="AF5" t="s">
        <v>74</v>
      </c>
      <c r="AG5">
        <v>46</v>
      </c>
      <c r="AH5">
        <v>52</v>
      </c>
      <c r="AI5">
        <v>52</v>
      </c>
      <c r="AJ5">
        <v>11</v>
      </c>
      <c r="AK5">
        <v>18</v>
      </c>
      <c r="AL5" t="s">
        <v>170</v>
      </c>
      <c r="AM5" t="s">
        <v>171</v>
      </c>
      <c r="AN5" t="s">
        <v>172</v>
      </c>
      <c r="AO5" t="s">
        <v>173</v>
      </c>
      <c r="AP5" t="s">
        <v>174</v>
      </c>
      <c r="AQ5" t="s">
        <v>74</v>
      </c>
      <c r="AR5" t="s">
        <v>175</v>
      </c>
      <c r="AS5" t="s">
        <v>176</v>
      </c>
      <c r="AT5" t="s">
        <v>177</v>
      </c>
      <c r="AU5">
        <v>2025</v>
      </c>
      <c r="AV5">
        <v>71</v>
      </c>
      <c r="AW5">
        <v>2</v>
      </c>
      <c r="AX5" t="s">
        <v>74</v>
      </c>
      <c r="AY5" t="s">
        <v>74</v>
      </c>
      <c r="AZ5" t="s">
        <v>74</v>
      </c>
      <c r="BA5" t="s">
        <v>74</v>
      </c>
      <c r="BB5">
        <v>7254</v>
      </c>
      <c r="BC5">
        <v>7268</v>
      </c>
      <c r="BD5" t="s">
        <v>74</v>
      </c>
      <c r="BE5" t="s">
        <v>178</v>
      </c>
      <c r="BF5" t="str">
        <f>HYPERLINK("http://dx.doi.org/10.1109/TCE.2025.3526427","http://dx.doi.org/10.1109/TCE.2025.3526427")</f>
        <v>http://dx.doi.org/10.1109/TCE.2025.3526427</v>
      </c>
      <c r="BG5" t="s">
        <v>74</v>
      </c>
      <c r="BH5" t="s">
        <v>74</v>
      </c>
      <c r="BI5">
        <v>15</v>
      </c>
      <c r="BJ5" t="s">
        <v>179</v>
      </c>
      <c r="BK5" t="s">
        <v>101</v>
      </c>
      <c r="BL5" t="s">
        <v>180</v>
      </c>
      <c r="BM5" t="s">
        <v>181</v>
      </c>
      <c r="BN5" t="s">
        <v>74</v>
      </c>
      <c r="BO5" t="s">
        <v>74</v>
      </c>
      <c r="BP5" t="s">
        <v>74</v>
      </c>
      <c r="BQ5" t="s">
        <v>74</v>
      </c>
      <c r="BR5" t="s">
        <v>105</v>
      </c>
      <c r="BS5" t="s">
        <v>182</v>
      </c>
      <c r="BT5" t="str">
        <f>HYPERLINK("https%3A%2F%2Fwww.webofscience.com%2Fwos%2Fwoscc%2Ffull-record%2FWOS:001554477900017","View Full Record in Web of Science")</f>
        <v>View Full Record in Web of Science</v>
      </c>
    </row>
    <row r="6" spans="1:72" x14ac:dyDescent="0.25">
      <c r="A6" t="s">
        <v>72</v>
      </c>
      <c r="B6" t="s">
        <v>183</v>
      </c>
      <c r="C6" t="s">
        <v>74</v>
      </c>
      <c r="D6" t="s">
        <v>74</v>
      </c>
      <c r="E6" t="s">
        <v>74</v>
      </c>
      <c r="F6" t="s">
        <v>184</v>
      </c>
      <c r="G6" t="s">
        <v>74</v>
      </c>
      <c r="H6" t="s">
        <v>74</v>
      </c>
      <c r="I6" t="s">
        <v>185</v>
      </c>
      <c r="J6" t="s">
        <v>110</v>
      </c>
      <c r="K6" t="s">
        <v>74</v>
      </c>
      <c r="L6" t="s">
        <v>74</v>
      </c>
      <c r="M6" t="s">
        <v>78</v>
      </c>
      <c r="N6" t="s">
        <v>79</v>
      </c>
      <c r="O6" t="s">
        <v>74</v>
      </c>
      <c r="P6" t="s">
        <v>74</v>
      </c>
      <c r="Q6" t="s">
        <v>74</v>
      </c>
      <c r="R6" t="s">
        <v>74</v>
      </c>
      <c r="S6" t="s">
        <v>74</v>
      </c>
      <c r="T6" t="s">
        <v>186</v>
      </c>
      <c r="U6" t="s">
        <v>187</v>
      </c>
      <c r="V6" t="s">
        <v>188</v>
      </c>
      <c r="W6" t="s">
        <v>189</v>
      </c>
      <c r="X6" t="s">
        <v>190</v>
      </c>
      <c r="Y6" t="s">
        <v>191</v>
      </c>
      <c r="Z6" t="s">
        <v>192</v>
      </c>
      <c r="AA6" t="s">
        <v>193</v>
      </c>
      <c r="AB6" t="s">
        <v>194</v>
      </c>
      <c r="AC6" t="s">
        <v>195</v>
      </c>
      <c r="AD6" t="s">
        <v>196</v>
      </c>
      <c r="AE6" t="s">
        <v>197</v>
      </c>
      <c r="AF6" t="s">
        <v>74</v>
      </c>
      <c r="AG6">
        <v>210</v>
      </c>
      <c r="AH6">
        <v>1037</v>
      </c>
      <c r="AI6">
        <v>1174</v>
      </c>
      <c r="AJ6">
        <v>61</v>
      </c>
      <c r="AK6">
        <v>475</v>
      </c>
      <c r="AL6" t="s">
        <v>91</v>
      </c>
      <c r="AM6" t="s">
        <v>92</v>
      </c>
      <c r="AN6" t="s">
        <v>93</v>
      </c>
      <c r="AO6" t="s">
        <v>119</v>
      </c>
      <c r="AP6" t="s">
        <v>120</v>
      </c>
      <c r="AQ6" t="s">
        <v>74</v>
      </c>
      <c r="AR6" t="s">
        <v>121</v>
      </c>
      <c r="AS6" t="s">
        <v>122</v>
      </c>
      <c r="AT6" t="s">
        <v>198</v>
      </c>
      <c r="AU6">
        <v>2023</v>
      </c>
      <c r="AV6">
        <v>55</v>
      </c>
      <c r="AW6">
        <v>5</v>
      </c>
      <c r="AX6" t="s">
        <v>74</v>
      </c>
      <c r="AY6" t="s">
        <v>74</v>
      </c>
      <c r="AZ6" t="s">
        <v>74</v>
      </c>
      <c r="BA6" t="s">
        <v>74</v>
      </c>
      <c r="BB6" t="s">
        <v>74</v>
      </c>
      <c r="BC6" t="s">
        <v>74</v>
      </c>
      <c r="BD6">
        <v>97</v>
      </c>
      <c r="BE6" t="s">
        <v>199</v>
      </c>
      <c r="BF6" t="str">
        <f>HYPERLINK("http://dx.doi.org/10.1145/3535101","http://dx.doi.org/10.1145/3535101")</f>
        <v>http://dx.doi.org/10.1145/3535101</v>
      </c>
      <c r="BG6" t="s">
        <v>74</v>
      </c>
      <c r="BH6" t="s">
        <v>74</v>
      </c>
      <c r="BI6">
        <v>37</v>
      </c>
      <c r="BJ6" t="s">
        <v>125</v>
      </c>
      <c r="BK6" t="s">
        <v>101</v>
      </c>
      <c r="BL6" t="s">
        <v>102</v>
      </c>
      <c r="BM6" t="s">
        <v>200</v>
      </c>
      <c r="BN6" t="s">
        <v>74</v>
      </c>
      <c r="BO6" t="s">
        <v>74</v>
      </c>
      <c r="BP6" t="s">
        <v>74</v>
      </c>
      <c r="BQ6" t="s">
        <v>74</v>
      </c>
      <c r="BR6" t="s">
        <v>105</v>
      </c>
      <c r="BS6" t="s">
        <v>201</v>
      </c>
      <c r="BT6" t="str">
        <f>HYPERLINK("https%3A%2F%2Fwww.webofscience.com%2Fwos%2Fwoscc%2Ffull-record%2FWOS:000892356400011","View Full Record in Web of Science")</f>
        <v>View Full Record in Web of Science</v>
      </c>
    </row>
    <row r="7" spans="1:72" x14ac:dyDescent="0.25">
      <c r="A7" t="s">
        <v>72</v>
      </c>
      <c r="B7" t="s">
        <v>202</v>
      </c>
      <c r="C7" t="s">
        <v>74</v>
      </c>
      <c r="D7" t="s">
        <v>74</v>
      </c>
      <c r="E7" t="s">
        <v>74</v>
      </c>
      <c r="F7" t="s">
        <v>203</v>
      </c>
      <c r="G7" t="s">
        <v>74</v>
      </c>
      <c r="H7" t="s">
        <v>74</v>
      </c>
      <c r="I7" t="s">
        <v>204</v>
      </c>
      <c r="J7" t="s">
        <v>77</v>
      </c>
      <c r="K7" t="s">
        <v>74</v>
      </c>
      <c r="L7" t="s">
        <v>74</v>
      </c>
      <c r="M7" t="s">
        <v>78</v>
      </c>
      <c r="N7" t="s">
        <v>79</v>
      </c>
      <c r="O7" t="s">
        <v>74</v>
      </c>
      <c r="P7" t="s">
        <v>74</v>
      </c>
      <c r="Q7" t="s">
        <v>74</v>
      </c>
      <c r="R7" t="s">
        <v>74</v>
      </c>
      <c r="S7" t="s">
        <v>74</v>
      </c>
      <c r="T7" t="s">
        <v>205</v>
      </c>
      <c r="U7" t="s">
        <v>74</v>
      </c>
      <c r="V7" t="s">
        <v>206</v>
      </c>
      <c r="W7" t="s">
        <v>207</v>
      </c>
      <c r="X7" t="s">
        <v>208</v>
      </c>
      <c r="Y7" t="s">
        <v>209</v>
      </c>
      <c r="Z7" t="s">
        <v>210</v>
      </c>
      <c r="AA7" t="s">
        <v>211</v>
      </c>
      <c r="AB7" t="s">
        <v>212</v>
      </c>
      <c r="AC7" t="s">
        <v>213</v>
      </c>
      <c r="AD7" t="s">
        <v>214</v>
      </c>
      <c r="AE7" t="s">
        <v>215</v>
      </c>
      <c r="AF7" t="s">
        <v>74</v>
      </c>
      <c r="AG7">
        <v>140</v>
      </c>
      <c r="AH7">
        <v>144</v>
      </c>
      <c r="AI7">
        <v>167</v>
      </c>
      <c r="AJ7">
        <v>29</v>
      </c>
      <c r="AK7">
        <v>191</v>
      </c>
      <c r="AL7" t="s">
        <v>91</v>
      </c>
      <c r="AM7" t="s">
        <v>92</v>
      </c>
      <c r="AN7" t="s">
        <v>93</v>
      </c>
      <c r="AO7" t="s">
        <v>94</v>
      </c>
      <c r="AP7" t="s">
        <v>95</v>
      </c>
      <c r="AQ7" t="s">
        <v>74</v>
      </c>
      <c r="AR7" t="s">
        <v>96</v>
      </c>
      <c r="AS7" t="s">
        <v>97</v>
      </c>
      <c r="AT7" t="s">
        <v>216</v>
      </c>
      <c r="AU7">
        <v>2024</v>
      </c>
      <c r="AV7">
        <v>42</v>
      </c>
      <c r="AW7">
        <v>4</v>
      </c>
      <c r="AX7" t="s">
        <v>74</v>
      </c>
      <c r="AY7" t="s">
        <v>74</v>
      </c>
      <c r="AZ7" t="s">
        <v>74</v>
      </c>
      <c r="BA7" t="s">
        <v>74</v>
      </c>
      <c r="BB7" t="s">
        <v>74</v>
      </c>
      <c r="BC7" t="s">
        <v>74</v>
      </c>
      <c r="BD7">
        <v>88</v>
      </c>
      <c r="BE7" t="s">
        <v>217</v>
      </c>
      <c r="BF7" t="str">
        <f>HYPERLINK("http://dx.doi.org/10.1145/3639048","http://dx.doi.org/10.1145/3639048")</f>
        <v>http://dx.doi.org/10.1145/3639048</v>
      </c>
      <c r="BG7" t="s">
        <v>74</v>
      </c>
      <c r="BH7" t="s">
        <v>74</v>
      </c>
      <c r="BI7">
        <v>32</v>
      </c>
      <c r="BJ7" t="s">
        <v>100</v>
      </c>
      <c r="BK7" t="s">
        <v>101</v>
      </c>
      <c r="BL7" t="s">
        <v>102</v>
      </c>
      <c r="BM7" t="s">
        <v>218</v>
      </c>
      <c r="BN7" t="s">
        <v>74</v>
      </c>
      <c r="BO7" t="s">
        <v>74</v>
      </c>
      <c r="BP7" t="s">
        <v>74</v>
      </c>
      <c r="BQ7" t="s">
        <v>74</v>
      </c>
      <c r="BR7" t="s">
        <v>105</v>
      </c>
      <c r="BS7" t="s">
        <v>219</v>
      </c>
      <c r="BT7" t="str">
        <f>HYPERLINK("https%3A%2F%2Fwww.webofscience.com%2Fwos%2Fwoscc%2Ffull-record%2FWOS:001229267400001","View Full Record in Web of Science")</f>
        <v>View Full Record in Web of Science</v>
      </c>
    </row>
    <row r="8" spans="1:72" x14ac:dyDescent="0.25">
      <c r="A8" t="s">
        <v>72</v>
      </c>
      <c r="B8" t="s">
        <v>220</v>
      </c>
      <c r="C8" t="s">
        <v>74</v>
      </c>
      <c r="D8" t="s">
        <v>74</v>
      </c>
      <c r="E8" t="s">
        <v>74</v>
      </c>
      <c r="F8" t="s">
        <v>221</v>
      </c>
      <c r="G8" t="s">
        <v>74</v>
      </c>
      <c r="H8" t="s">
        <v>74</v>
      </c>
      <c r="I8" t="s">
        <v>222</v>
      </c>
      <c r="J8" t="s">
        <v>77</v>
      </c>
      <c r="K8" t="s">
        <v>74</v>
      </c>
      <c r="L8" t="s">
        <v>74</v>
      </c>
      <c r="M8" t="s">
        <v>78</v>
      </c>
      <c r="N8" t="s">
        <v>79</v>
      </c>
      <c r="O8" t="s">
        <v>74</v>
      </c>
      <c r="P8" t="s">
        <v>74</v>
      </c>
      <c r="Q8" t="s">
        <v>74</v>
      </c>
      <c r="R8" t="s">
        <v>74</v>
      </c>
      <c r="S8" t="s">
        <v>74</v>
      </c>
      <c r="T8" t="s">
        <v>223</v>
      </c>
      <c r="U8" t="s">
        <v>74</v>
      </c>
      <c r="V8" t="s">
        <v>224</v>
      </c>
      <c r="W8" t="s">
        <v>225</v>
      </c>
      <c r="X8" t="s">
        <v>226</v>
      </c>
      <c r="Y8" t="s">
        <v>227</v>
      </c>
      <c r="Z8" t="s">
        <v>228</v>
      </c>
      <c r="AA8" t="s">
        <v>229</v>
      </c>
      <c r="AB8" t="s">
        <v>230</v>
      </c>
      <c r="AC8" t="s">
        <v>74</v>
      </c>
      <c r="AD8" t="s">
        <v>74</v>
      </c>
      <c r="AE8" t="s">
        <v>74</v>
      </c>
      <c r="AF8" t="s">
        <v>74</v>
      </c>
      <c r="AG8">
        <v>62</v>
      </c>
      <c r="AH8">
        <v>25</v>
      </c>
      <c r="AI8">
        <v>26</v>
      </c>
      <c r="AJ8">
        <v>30</v>
      </c>
      <c r="AK8">
        <v>52</v>
      </c>
      <c r="AL8" t="s">
        <v>91</v>
      </c>
      <c r="AM8" t="s">
        <v>92</v>
      </c>
      <c r="AN8" t="s">
        <v>93</v>
      </c>
      <c r="AO8" t="s">
        <v>94</v>
      </c>
      <c r="AP8" t="s">
        <v>95</v>
      </c>
      <c r="AQ8" t="s">
        <v>74</v>
      </c>
      <c r="AR8" t="s">
        <v>96</v>
      </c>
      <c r="AS8" t="s">
        <v>97</v>
      </c>
      <c r="AT8" t="s">
        <v>198</v>
      </c>
      <c r="AU8">
        <v>2025</v>
      </c>
      <c r="AV8">
        <v>43</v>
      </c>
      <c r="AW8">
        <v>4</v>
      </c>
      <c r="AX8" t="s">
        <v>74</v>
      </c>
      <c r="AY8" t="s">
        <v>74</v>
      </c>
      <c r="AZ8" t="s">
        <v>74</v>
      </c>
      <c r="BA8" t="s">
        <v>74</v>
      </c>
      <c r="BB8" t="s">
        <v>74</v>
      </c>
      <c r="BC8" t="s">
        <v>74</v>
      </c>
      <c r="BD8">
        <v>96</v>
      </c>
      <c r="BE8" t="s">
        <v>231</v>
      </c>
      <c r="BF8" t="str">
        <f>HYPERLINK("http://dx.doi.org/10.1145/3731446","http://dx.doi.org/10.1145/3731446")</f>
        <v>http://dx.doi.org/10.1145/3731446</v>
      </c>
      <c r="BG8" t="s">
        <v>74</v>
      </c>
      <c r="BH8" t="s">
        <v>74</v>
      </c>
      <c r="BI8">
        <v>33</v>
      </c>
      <c r="BJ8" t="s">
        <v>100</v>
      </c>
      <c r="BK8" t="s">
        <v>101</v>
      </c>
      <c r="BL8" t="s">
        <v>102</v>
      </c>
      <c r="BM8" t="s">
        <v>232</v>
      </c>
      <c r="BN8" t="s">
        <v>74</v>
      </c>
      <c r="BO8" t="s">
        <v>74</v>
      </c>
      <c r="BP8" t="s">
        <v>74</v>
      </c>
      <c r="BQ8" t="s">
        <v>74</v>
      </c>
      <c r="BR8" t="s">
        <v>105</v>
      </c>
      <c r="BS8" t="s">
        <v>233</v>
      </c>
      <c r="BT8" t="str">
        <f>HYPERLINK("https%3A%2F%2Fwww.webofscience.com%2Fwos%2Fwoscc%2Ffull-record%2FWOS:001537652500001","View Full Record in Web of Science")</f>
        <v>View Full Record in Web of Science</v>
      </c>
    </row>
    <row r="9" spans="1:72" x14ac:dyDescent="0.25">
      <c r="A9" t="s">
        <v>72</v>
      </c>
      <c r="B9" t="s">
        <v>234</v>
      </c>
      <c r="C9" t="s">
        <v>74</v>
      </c>
      <c r="D9" t="s">
        <v>74</v>
      </c>
      <c r="E9" t="s">
        <v>74</v>
      </c>
      <c r="F9" t="s">
        <v>235</v>
      </c>
      <c r="G9" t="s">
        <v>74</v>
      </c>
      <c r="H9" t="s">
        <v>74</v>
      </c>
      <c r="I9" t="s">
        <v>236</v>
      </c>
      <c r="J9" t="s">
        <v>237</v>
      </c>
      <c r="K9" t="s">
        <v>74</v>
      </c>
      <c r="L9" t="s">
        <v>74</v>
      </c>
      <c r="M9" t="s">
        <v>78</v>
      </c>
      <c r="N9" t="s">
        <v>79</v>
      </c>
      <c r="O9" t="s">
        <v>74</v>
      </c>
      <c r="P9" t="s">
        <v>74</v>
      </c>
      <c r="Q9" t="s">
        <v>74</v>
      </c>
      <c r="R9" t="s">
        <v>74</v>
      </c>
      <c r="S9" t="s">
        <v>74</v>
      </c>
      <c r="T9" t="s">
        <v>238</v>
      </c>
      <c r="U9" t="s">
        <v>74</v>
      </c>
      <c r="V9" t="s">
        <v>239</v>
      </c>
      <c r="W9" t="s">
        <v>240</v>
      </c>
      <c r="X9" t="s">
        <v>241</v>
      </c>
      <c r="Y9" t="s">
        <v>242</v>
      </c>
      <c r="Z9" t="s">
        <v>243</v>
      </c>
      <c r="AA9" t="s">
        <v>244</v>
      </c>
      <c r="AB9" t="s">
        <v>74</v>
      </c>
      <c r="AC9" t="s">
        <v>245</v>
      </c>
      <c r="AD9" t="s">
        <v>246</v>
      </c>
      <c r="AE9" t="s">
        <v>247</v>
      </c>
      <c r="AF9" t="s">
        <v>74</v>
      </c>
      <c r="AG9">
        <v>253</v>
      </c>
      <c r="AH9">
        <v>495</v>
      </c>
      <c r="AI9">
        <v>535</v>
      </c>
      <c r="AJ9">
        <v>1</v>
      </c>
      <c r="AK9">
        <v>2</v>
      </c>
      <c r="AL9" t="s">
        <v>91</v>
      </c>
      <c r="AM9" t="s">
        <v>92</v>
      </c>
      <c r="AN9" t="s">
        <v>93</v>
      </c>
      <c r="AO9" t="s">
        <v>74</v>
      </c>
      <c r="AP9" t="s">
        <v>248</v>
      </c>
      <c r="AQ9" t="s">
        <v>74</v>
      </c>
      <c r="AR9" t="s">
        <v>249</v>
      </c>
      <c r="AS9" t="s">
        <v>250</v>
      </c>
      <c r="AT9" t="s">
        <v>123</v>
      </c>
      <c r="AU9">
        <v>2023</v>
      </c>
      <c r="AV9">
        <v>1</v>
      </c>
      <c r="AW9">
        <v>1</v>
      </c>
      <c r="AX9" t="s">
        <v>74</v>
      </c>
      <c r="AY9" t="s">
        <v>74</v>
      </c>
      <c r="AZ9" t="s">
        <v>74</v>
      </c>
      <c r="BA9" t="s">
        <v>74</v>
      </c>
      <c r="BB9" t="s">
        <v>74</v>
      </c>
      <c r="BC9" t="s">
        <v>74</v>
      </c>
      <c r="BD9">
        <v>3</v>
      </c>
      <c r="BE9" t="s">
        <v>251</v>
      </c>
      <c r="BF9" t="str">
        <f>HYPERLINK("http://dx.doi.org/10.1145/3568022","http://dx.doi.org/10.1145/3568022")</f>
        <v>http://dx.doi.org/10.1145/3568022</v>
      </c>
      <c r="BG9" t="s">
        <v>74</v>
      </c>
      <c r="BH9" t="s">
        <v>74</v>
      </c>
      <c r="BI9">
        <v>51</v>
      </c>
      <c r="BJ9" t="s">
        <v>252</v>
      </c>
      <c r="BK9" t="s">
        <v>253</v>
      </c>
      <c r="BL9" t="s">
        <v>102</v>
      </c>
      <c r="BM9" t="s">
        <v>254</v>
      </c>
      <c r="BN9" t="s">
        <v>74</v>
      </c>
      <c r="BO9" t="s">
        <v>104</v>
      </c>
      <c r="BP9" t="s">
        <v>74</v>
      </c>
      <c r="BQ9" t="s">
        <v>74</v>
      </c>
      <c r="BR9" t="s">
        <v>105</v>
      </c>
      <c r="BS9" t="s">
        <v>255</v>
      </c>
      <c r="BT9" t="str">
        <f>HYPERLINK("https%3A%2F%2Fwww.webofscience.com%2Fwos%2Fwoscc%2Ffull-record%2FWOS:001780076100001","View Full Record in Web of Science")</f>
        <v>View Full Record in Web of Science</v>
      </c>
    </row>
    <row r="10" spans="1:72" x14ac:dyDescent="0.25">
      <c r="A10" t="s">
        <v>72</v>
      </c>
      <c r="B10" t="s">
        <v>256</v>
      </c>
      <c r="C10" t="s">
        <v>74</v>
      </c>
      <c r="D10" t="s">
        <v>74</v>
      </c>
      <c r="E10" t="s">
        <v>74</v>
      </c>
      <c r="F10" t="s">
        <v>256</v>
      </c>
      <c r="G10" t="s">
        <v>74</v>
      </c>
      <c r="H10" t="s">
        <v>74</v>
      </c>
      <c r="I10" t="s">
        <v>257</v>
      </c>
      <c r="J10" t="s">
        <v>131</v>
      </c>
      <c r="K10" t="s">
        <v>74</v>
      </c>
      <c r="L10" t="s">
        <v>74</v>
      </c>
      <c r="M10" t="s">
        <v>78</v>
      </c>
      <c r="N10" t="s">
        <v>258</v>
      </c>
      <c r="O10" t="s">
        <v>74</v>
      </c>
      <c r="P10" t="s">
        <v>74</v>
      </c>
      <c r="Q10" t="s">
        <v>74</v>
      </c>
      <c r="R10" t="s">
        <v>74</v>
      </c>
      <c r="S10" t="s">
        <v>74</v>
      </c>
      <c r="T10" t="s">
        <v>259</v>
      </c>
      <c r="U10" t="s">
        <v>260</v>
      </c>
      <c r="V10" t="s">
        <v>261</v>
      </c>
      <c r="W10" t="s">
        <v>262</v>
      </c>
      <c r="X10" t="s">
        <v>263</v>
      </c>
      <c r="Y10" t="s">
        <v>264</v>
      </c>
      <c r="Z10" t="s">
        <v>265</v>
      </c>
      <c r="AA10" t="s">
        <v>266</v>
      </c>
      <c r="AB10" t="s">
        <v>74</v>
      </c>
      <c r="AC10" t="s">
        <v>74</v>
      </c>
      <c r="AD10" t="s">
        <v>74</v>
      </c>
      <c r="AE10" t="s">
        <v>74</v>
      </c>
      <c r="AF10" t="s">
        <v>74</v>
      </c>
      <c r="AG10">
        <v>112</v>
      </c>
      <c r="AH10">
        <v>5775</v>
      </c>
      <c r="AI10">
        <v>7173</v>
      </c>
      <c r="AJ10">
        <v>38</v>
      </c>
      <c r="AK10">
        <v>1189</v>
      </c>
      <c r="AL10" t="s">
        <v>143</v>
      </c>
      <c r="AM10" t="s">
        <v>144</v>
      </c>
      <c r="AN10" t="s">
        <v>145</v>
      </c>
      <c r="AO10" t="s">
        <v>146</v>
      </c>
      <c r="AP10" t="s">
        <v>147</v>
      </c>
      <c r="AQ10" t="s">
        <v>74</v>
      </c>
      <c r="AR10" t="s">
        <v>148</v>
      </c>
      <c r="AS10" t="s">
        <v>149</v>
      </c>
      <c r="AT10" t="s">
        <v>198</v>
      </c>
      <c r="AU10">
        <v>2005</v>
      </c>
      <c r="AV10">
        <v>17</v>
      </c>
      <c r="AW10">
        <v>6</v>
      </c>
      <c r="AX10" t="s">
        <v>74</v>
      </c>
      <c r="AY10" t="s">
        <v>74</v>
      </c>
      <c r="AZ10" t="s">
        <v>74</v>
      </c>
      <c r="BA10" t="s">
        <v>74</v>
      </c>
      <c r="BB10">
        <v>734</v>
      </c>
      <c r="BC10">
        <v>749</v>
      </c>
      <c r="BD10" t="s">
        <v>74</v>
      </c>
      <c r="BE10" t="s">
        <v>267</v>
      </c>
      <c r="BF10" t="str">
        <f>HYPERLINK("http://dx.doi.org/10.1109/TKDE.2005.99","http://dx.doi.org/10.1109/TKDE.2005.99")</f>
        <v>http://dx.doi.org/10.1109/TKDE.2005.99</v>
      </c>
      <c r="BG10" t="s">
        <v>74</v>
      </c>
      <c r="BH10" t="s">
        <v>74</v>
      </c>
      <c r="BI10">
        <v>16</v>
      </c>
      <c r="BJ10" t="s">
        <v>152</v>
      </c>
      <c r="BK10" t="s">
        <v>101</v>
      </c>
      <c r="BL10" t="s">
        <v>153</v>
      </c>
      <c r="BM10" t="s">
        <v>268</v>
      </c>
      <c r="BN10" t="s">
        <v>74</v>
      </c>
      <c r="BO10" t="s">
        <v>74</v>
      </c>
      <c r="BP10" t="s">
        <v>74</v>
      </c>
      <c r="BQ10" t="s">
        <v>74</v>
      </c>
      <c r="BR10" t="s">
        <v>105</v>
      </c>
      <c r="BS10" t="s">
        <v>269</v>
      </c>
      <c r="BT10" t="str">
        <f>HYPERLINK("https%3A%2F%2Fwww.webofscience.com%2Fwos%2Fwoscc%2Ffull-record%2FWOS:000228453300002","View Full Record in Web of Science")</f>
        <v>View Full Record in Web of Science</v>
      </c>
    </row>
    <row r="11" spans="1:72" x14ac:dyDescent="0.25">
      <c r="A11" t="s">
        <v>72</v>
      </c>
      <c r="B11" t="s">
        <v>270</v>
      </c>
      <c r="C11" t="s">
        <v>74</v>
      </c>
      <c r="D11" t="s">
        <v>74</v>
      </c>
      <c r="E11" t="s">
        <v>74</v>
      </c>
      <c r="F11" t="s">
        <v>271</v>
      </c>
      <c r="G11" t="s">
        <v>74</v>
      </c>
      <c r="H11" t="s">
        <v>74</v>
      </c>
      <c r="I11" t="s">
        <v>272</v>
      </c>
      <c r="J11" t="s">
        <v>273</v>
      </c>
      <c r="K11" t="s">
        <v>74</v>
      </c>
      <c r="L11" t="s">
        <v>74</v>
      </c>
      <c r="M11" t="s">
        <v>78</v>
      </c>
      <c r="N11" t="s">
        <v>258</v>
      </c>
      <c r="O11" t="s">
        <v>74</v>
      </c>
      <c r="P11" t="s">
        <v>74</v>
      </c>
      <c r="Q11" t="s">
        <v>74</v>
      </c>
      <c r="R11" t="s">
        <v>74</v>
      </c>
      <c r="S11" t="s">
        <v>74</v>
      </c>
      <c r="T11" t="s">
        <v>74</v>
      </c>
      <c r="U11" t="s">
        <v>74</v>
      </c>
      <c r="V11" t="s">
        <v>274</v>
      </c>
      <c r="W11" t="s">
        <v>275</v>
      </c>
      <c r="X11" t="s">
        <v>276</v>
      </c>
      <c r="Y11" t="s">
        <v>277</v>
      </c>
      <c r="Z11" t="s">
        <v>278</v>
      </c>
      <c r="AA11" t="s">
        <v>279</v>
      </c>
      <c r="AB11" t="s">
        <v>280</v>
      </c>
      <c r="AC11" t="s">
        <v>281</v>
      </c>
      <c r="AD11" t="s">
        <v>282</v>
      </c>
      <c r="AE11" t="s">
        <v>283</v>
      </c>
      <c r="AF11" t="s">
        <v>74</v>
      </c>
      <c r="AG11">
        <v>102</v>
      </c>
      <c r="AH11">
        <v>84</v>
      </c>
      <c r="AI11">
        <v>90</v>
      </c>
      <c r="AJ11">
        <v>49</v>
      </c>
      <c r="AK11">
        <v>214</v>
      </c>
      <c r="AL11" t="s">
        <v>284</v>
      </c>
      <c r="AM11" t="s">
        <v>285</v>
      </c>
      <c r="AN11" t="s">
        <v>286</v>
      </c>
      <c r="AO11" t="s">
        <v>287</v>
      </c>
      <c r="AP11" t="s">
        <v>288</v>
      </c>
      <c r="AQ11" t="s">
        <v>74</v>
      </c>
      <c r="AR11" t="s">
        <v>289</v>
      </c>
      <c r="AS11" t="s">
        <v>290</v>
      </c>
      <c r="AT11" t="s">
        <v>291</v>
      </c>
      <c r="AU11">
        <v>2024</v>
      </c>
      <c r="AV11">
        <v>250</v>
      </c>
      <c r="AW11" t="s">
        <v>74</v>
      </c>
      <c r="AX11" t="s">
        <v>74</v>
      </c>
      <c r="AY11" t="s">
        <v>74</v>
      </c>
      <c r="AZ11" t="s">
        <v>74</v>
      </c>
      <c r="BA11" t="s">
        <v>74</v>
      </c>
      <c r="BB11" t="s">
        <v>74</v>
      </c>
      <c r="BC11" t="s">
        <v>74</v>
      </c>
      <c r="BD11">
        <v>123876</v>
      </c>
      <c r="BE11" t="s">
        <v>292</v>
      </c>
      <c r="BF11" t="str">
        <f>HYPERLINK("http://dx.doi.org/10.1016/j.eswa.2024.123876","http://dx.doi.org/10.1016/j.eswa.2024.123876")</f>
        <v>http://dx.doi.org/10.1016/j.eswa.2024.123876</v>
      </c>
      <c r="BG11" t="s">
        <v>74</v>
      </c>
      <c r="BH11" t="s">
        <v>293</v>
      </c>
      <c r="BI11">
        <v>20</v>
      </c>
      <c r="BJ11" t="s">
        <v>294</v>
      </c>
      <c r="BK11" t="s">
        <v>101</v>
      </c>
      <c r="BL11" t="s">
        <v>295</v>
      </c>
      <c r="BM11" t="s">
        <v>296</v>
      </c>
      <c r="BN11" t="s">
        <v>74</v>
      </c>
      <c r="BO11" t="s">
        <v>74</v>
      </c>
      <c r="BP11" t="s">
        <v>74</v>
      </c>
      <c r="BQ11" t="s">
        <v>74</v>
      </c>
      <c r="BR11" t="s">
        <v>105</v>
      </c>
      <c r="BS11" t="s">
        <v>297</v>
      </c>
      <c r="BT11" t="str">
        <f>HYPERLINK("https%3A%2F%2Fwww.webofscience.com%2Fwos%2Fwoscc%2Ffull-record%2FWOS:001224561600001","View Full Record in Web of Science")</f>
        <v>View Full Record in Web of Science</v>
      </c>
    </row>
    <row r="12" spans="1:72" x14ac:dyDescent="0.25">
      <c r="A12" t="s">
        <v>72</v>
      </c>
      <c r="B12" t="s">
        <v>298</v>
      </c>
      <c r="C12" t="s">
        <v>74</v>
      </c>
      <c r="D12" t="s">
        <v>74</v>
      </c>
      <c r="E12" t="s">
        <v>74</v>
      </c>
      <c r="F12" t="s">
        <v>299</v>
      </c>
      <c r="G12" t="s">
        <v>74</v>
      </c>
      <c r="H12" t="s">
        <v>74</v>
      </c>
      <c r="I12" t="s">
        <v>300</v>
      </c>
      <c r="J12" t="s">
        <v>301</v>
      </c>
      <c r="K12" t="s">
        <v>74</v>
      </c>
      <c r="L12" t="s">
        <v>74</v>
      </c>
      <c r="M12" t="s">
        <v>78</v>
      </c>
      <c r="N12" t="s">
        <v>79</v>
      </c>
      <c r="O12" t="s">
        <v>74</v>
      </c>
      <c r="P12" t="s">
        <v>74</v>
      </c>
      <c r="Q12" t="s">
        <v>74</v>
      </c>
      <c r="R12" t="s">
        <v>74</v>
      </c>
      <c r="S12" t="s">
        <v>74</v>
      </c>
      <c r="T12" t="s">
        <v>302</v>
      </c>
      <c r="U12" t="s">
        <v>303</v>
      </c>
      <c r="V12" t="s">
        <v>304</v>
      </c>
      <c r="W12" t="s">
        <v>305</v>
      </c>
      <c r="X12" t="s">
        <v>306</v>
      </c>
      <c r="Y12" t="s">
        <v>307</v>
      </c>
      <c r="Z12" t="s">
        <v>308</v>
      </c>
      <c r="AA12" t="s">
        <v>309</v>
      </c>
      <c r="AB12" t="s">
        <v>310</v>
      </c>
      <c r="AC12" t="s">
        <v>74</v>
      </c>
      <c r="AD12" t="s">
        <v>74</v>
      </c>
      <c r="AE12" t="s">
        <v>74</v>
      </c>
      <c r="AF12" t="s">
        <v>74</v>
      </c>
      <c r="AG12">
        <v>207</v>
      </c>
      <c r="AH12">
        <v>67</v>
      </c>
      <c r="AI12">
        <v>75</v>
      </c>
      <c r="AJ12">
        <v>25</v>
      </c>
      <c r="AK12">
        <v>169</v>
      </c>
      <c r="AL12" t="s">
        <v>170</v>
      </c>
      <c r="AM12" t="s">
        <v>171</v>
      </c>
      <c r="AN12" t="s">
        <v>172</v>
      </c>
      <c r="AO12" t="s">
        <v>311</v>
      </c>
      <c r="AP12" t="s">
        <v>312</v>
      </c>
      <c r="AQ12" t="s">
        <v>74</v>
      </c>
      <c r="AR12" t="s">
        <v>313</v>
      </c>
      <c r="AS12" t="s">
        <v>314</v>
      </c>
      <c r="AT12" t="s">
        <v>177</v>
      </c>
      <c r="AU12">
        <v>2024</v>
      </c>
      <c r="AV12">
        <v>19</v>
      </c>
      <c r="AW12">
        <v>2</v>
      </c>
      <c r="AX12" t="s">
        <v>74</v>
      </c>
      <c r="AY12" t="s">
        <v>74</v>
      </c>
      <c r="AZ12" t="s">
        <v>74</v>
      </c>
      <c r="BA12" t="s">
        <v>74</v>
      </c>
      <c r="BB12">
        <v>78</v>
      </c>
      <c r="BC12">
        <v>95</v>
      </c>
      <c r="BD12" t="s">
        <v>74</v>
      </c>
      <c r="BE12" t="s">
        <v>315</v>
      </c>
      <c r="BF12" t="str">
        <f>HYPERLINK("http://dx.doi.org/10.1109/MCI.2024.3363984","http://dx.doi.org/10.1109/MCI.2024.3363984")</f>
        <v>http://dx.doi.org/10.1109/MCI.2024.3363984</v>
      </c>
      <c r="BG12" t="s">
        <v>74</v>
      </c>
      <c r="BH12" t="s">
        <v>74</v>
      </c>
      <c r="BI12">
        <v>18</v>
      </c>
      <c r="BJ12" t="s">
        <v>316</v>
      </c>
      <c r="BK12" t="s">
        <v>101</v>
      </c>
      <c r="BL12" t="s">
        <v>102</v>
      </c>
      <c r="BM12" t="s">
        <v>317</v>
      </c>
      <c r="BN12" t="s">
        <v>74</v>
      </c>
      <c r="BO12" t="s">
        <v>74</v>
      </c>
      <c r="BP12" t="s">
        <v>74</v>
      </c>
      <c r="BQ12" t="s">
        <v>74</v>
      </c>
      <c r="BR12" t="s">
        <v>105</v>
      </c>
      <c r="BS12" t="s">
        <v>318</v>
      </c>
      <c r="BT12" t="str">
        <f>HYPERLINK("https%3A%2F%2Fwww.webofscience.com%2Fwos%2Fwoscc%2Ffull-record%2FWOS:001200273600002","View Full Record in Web of Science")</f>
        <v>View Full Record in Web of Science</v>
      </c>
    </row>
    <row r="13" spans="1:72" x14ac:dyDescent="0.25">
      <c r="A13" t="s">
        <v>72</v>
      </c>
      <c r="B13" t="s">
        <v>319</v>
      </c>
      <c r="C13" t="s">
        <v>74</v>
      </c>
      <c r="D13" t="s">
        <v>74</v>
      </c>
      <c r="E13" t="s">
        <v>74</v>
      </c>
      <c r="F13" t="s">
        <v>320</v>
      </c>
      <c r="G13" t="s">
        <v>74</v>
      </c>
      <c r="H13" t="s">
        <v>74</v>
      </c>
      <c r="I13" t="s">
        <v>321</v>
      </c>
      <c r="J13" t="s">
        <v>131</v>
      </c>
      <c r="K13" t="s">
        <v>74</v>
      </c>
      <c r="L13" t="s">
        <v>74</v>
      </c>
      <c r="M13" t="s">
        <v>78</v>
      </c>
      <c r="N13" t="s">
        <v>79</v>
      </c>
      <c r="O13" t="s">
        <v>74</v>
      </c>
      <c r="P13" t="s">
        <v>74</v>
      </c>
      <c r="Q13" t="s">
        <v>74</v>
      </c>
      <c r="R13" t="s">
        <v>74</v>
      </c>
      <c r="S13" t="s">
        <v>74</v>
      </c>
      <c r="T13" t="s">
        <v>322</v>
      </c>
      <c r="U13" t="s">
        <v>74</v>
      </c>
      <c r="V13" t="s">
        <v>323</v>
      </c>
      <c r="W13" t="s">
        <v>324</v>
      </c>
      <c r="X13" t="s">
        <v>325</v>
      </c>
      <c r="Y13" t="s">
        <v>326</v>
      </c>
      <c r="Z13" t="s">
        <v>327</v>
      </c>
      <c r="AA13" t="s">
        <v>328</v>
      </c>
      <c r="AB13" t="s">
        <v>329</v>
      </c>
      <c r="AC13" t="s">
        <v>330</v>
      </c>
      <c r="AD13" t="s">
        <v>331</v>
      </c>
      <c r="AE13" t="s">
        <v>332</v>
      </c>
      <c r="AF13" t="s">
        <v>74</v>
      </c>
      <c r="AG13">
        <v>58</v>
      </c>
      <c r="AH13">
        <v>61</v>
      </c>
      <c r="AI13">
        <v>66</v>
      </c>
      <c r="AJ13">
        <v>4</v>
      </c>
      <c r="AK13">
        <v>29</v>
      </c>
      <c r="AL13" t="s">
        <v>143</v>
      </c>
      <c r="AM13" t="s">
        <v>144</v>
      </c>
      <c r="AN13" t="s">
        <v>145</v>
      </c>
      <c r="AO13" t="s">
        <v>146</v>
      </c>
      <c r="AP13" t="s">
        <v>147</v>
      </c>
      <c r="AQ13" t="s">
        <v>74</v>
      </c>
      <c r="AR13" t="s">
        <v>148</v>
      </c>
      <c r="AS13" t="s">
        <v>149</v>
      </c>
      <c r="AT13" t="s">
        <v>98</v>
      </c>
      <c r="AU13">
        <v>2024</v>
      </c>
      <c r="AV13">
        <v>36</v>
      </c>
      <c r="AW13">
        <v>3</v>
      </c>
      <c r="AX13" t="s">
        <v>74</v>
      </c>
      <c r="AY13" t="s">
        <v>74</v>
      </c>
      <c r="AZ13" t="s">
        <v>74</v>
      </c>
      <c r="BA13" t="s">
        <v>74</v>
      </c>
      <c r="BB13">
        <v>987</v>
      </c>
      <c r="BC13">
        <v>999</v>
      </c>
      <c r="BD13" t="s">
        <v>74</v>
      </c>
      <c r="BE13" t="s">
        <v>333</v>
      </c>
      <c r="BF13" t="str">
        <f>HYPERLINK("http://dx.doi.org/10.1109/TKDE.2023.3295601","http://dx.doi.org/10.1109/TKDE.2023.3295601")</f>
        <v>http://dx.doi.org/10.1109/TKDE.2023.3295601</v>
      </c>
      <c r="BG13" t="s">
        <v>74</v>
      </c>
      <c r="BH13" t="s">
        <v>74</v>
      </c>
      <c r="BI13">
        <v>13</v>
      </c>
      <c r="BJ13" t="s">
        <v>152</v>
      </c>
      <c r="BK13" t="s">
        <v>101</v>
      </c>
      <c r="BL13" t="s">
        <v>153</v>
      </c>
      <c r="BM13" t="s">
        <v>334</v>
      </c>
      <c r="BN13" t="s">
        <v>74</v>
      </c>
      <c r="BO13" t="s">
        <v>74</v>
      </c>
      <c r="BP13" t="s">
        <v>74</v>
      </c>
      <c r="BQ13" t="s">
        <v>74</v>
      </c>
      <c r="BR13" t="s">
        <v>105</v>
      </c>
      <c r="BS13" t="s">
        <v>335</v>
      </c>
      <c r="BT13" t="str">
        <f>HYPERLINK("https%3A%2F%2Fwww.webofscience.com%2Fwos%2Fwoscc%2Ffull-record%2FWOS:001167452200025","View Full Record in Web of Science")</f>
        <v>View Full Record in Web of Science</v>
      </c>
    </row>
    <row r="14" spans="1:72" x14ac:dyDescent="0.25">
      <c r="A14" t="s">
        <v>72</v>
      </c>
      <c r="B14" t="s">
        <v>336</v>
      </c>
      <c r="C14" t="s">
        <v>74</v>
      </c>
      <c r="D14" t="s">
        <v>74</v>
      </c>
      <c r="E14" t="s">
        <v>74</v>
      </c>
      <c r="F14" t="s">
        <v>337</v>
      </c>
      <c r="G14" t="s">
        <v>74</v>
      </c>
      <c r="H14" t="s">
        <v>74</v>
      </c>
      <c r="I14" t="s">
        <v>338</v>
      </c>
      <c r="J14" t="s">
        <v>131</v>
      </c>
      <c r="K14" t="s">
        <v>74</v>
      </c>
      <c r="L14" t="s">
        <v>74</v>
      </c>
      <c r="M14" t="s">
        <v>78</v>
      </c>
      <c r="N14" t="s">
        <v>79</v>
      </c>
      <c r="O14" t="s">
        <v>74</v>
      </c>
      <c r="P14" t="s">
        <v>74</v>
      </c>
      <c r="Q14" t="s">
        <v>74</v>
      </c>
      <c r="R14" t="s">
        <v>74</v>
      </c>
      <c r="S14" t="s">
        <v>74</v>
      </c>
      <c r="T14" t="s">
        <v>339</v>
      </c>
      <c r="U14" t="s">
        <v>340</v>
      </c>
      <c r="V14" t="s">
        <v>341</v>
      </c>
      <c r="W14" t="s">
        <v>342</v>
      </c>
      <c r="X14" t="s">
        <v>343</v>
      </c>
      <c r="Y14" t="s">
        <v>344</v>
      </c>
      <c r="Z14" t="s">
        <v>345</v>
      </c>
      <c r="AA14" t="s">
        <v>346</v>
      </c>
      <c r="AB14" t="s">
        <v>347</v>
      </c>
      <c r="AC14" t="s">
        <v>348</v>
      </c>
      <c r="AD14" t="s">
        <v>349</v>
      </c>
      <c r="AE14" t="s">
        <v>350</v>
      </c>
      <c r="AF14" t="s">
        <v>74</v>
      </c>
      <c r="AG14">
        <v>111</v>
      </c>
      <c r="AH14">
        <v>546</v>
      </c>
      <c r="AI14">
        <v>605</v>
      </c>
      <c r="AJ14">
        <v>35</v>
      </c>
      <c r="AK14">
        <v>35</v>
      </c>
      <c r="AL14" t="s">
        <v>143</v>
      </c>
      <c r="AM14" t="s">
        <v>144</v>
      </c>
      <c r="AN14" t="s">
        <v>145</v>
      </c>
      <c r="AO14" t="s">
        <v>146</v>
      </c>
      <c r="AP14" t="s">
        <v>147</v>
      </c>
      <c r="AQ14" t="s">
        <v>74</v>
      </c>
      <c r="AR14" t="s">
        <v>148</v>
      </c>
      <c r="AS14" t="s">
        <v>149</v>
      </c>
      <c r="AT14" t="s">
        <v>351</v>
      </c>
      <c r="AU14">
        <v>2022</v>
      </c>
      <c r="AV14">
        <v>34</v>
      </c>
      <c r="AW14">
        <v>8</v>
      </c>
      <c r="AX14" t="s">
        <v>74</v>
      </c>
      <c r="AY14" t="s">
        <v>74</v>
      </c>
      <c r="AZ14" t="s">
        <v>74</v>
      </c>
      <c r="BA14" t="s">
        <v>74</v>
      </c>
      <c r="BB14">
        <v>3549</v>
      </c>
      <c r="BC14">
        <v>3568</v>
      </c>
      <c r="BD14" t="s">
        <v>74</v>
      </c>
      <c r="BE14" t="s">
        <v>352</v>
      </c>
      <c r="BF14" t="str">
        <f>HYPERLINK("http://dx.doi.org/10.1109/TKDE.2020.3028705","http://dx.doi.org/10.1109/TKDE.2020.3028705")</f>
        <v>http://dx.doi.org/10.1109/TKDE.2020.3028705</v>
      </c>
      <c r="BG14" t="s">
        <v>74</v>
      </c>
      <c r="BH14" t="s">
        <v>74</v>
      </c>
      <c r="BI14">
        <v>20</v>
      </c>
      <c r="BJ14" t="s">
        <v>152</v>
      </c>
      <c r="BK14" t="s">
        <v>101</v>
      </c>
      <c r="BL14" t="s">
        <v>153</v>
      </c>
      <c r="BM14" t="s">
        <v>353</v>
      </c>
      <c r="BN14" t="s">
        <v>74</v>
      </c>
      <c r="BO14" t="s">
        <v>354</v>
      </c>
      <c r="BP14" t="s">
        <v>74</v>
      </c>
      <c r="BQ14" t="s">
        <v>74</v>
      </c>
      <c r="BR14" t="s">
        <v>105</v>
      </c>
      <c r="BS14" t="s">
        <v>355</v>
      </c>
      <c r="BT14" t="str">
        <f>HYPERLINK("https%3A%2F%2Fwww.webofscience.com%2Fwos%2Fwoscc%2Ffull-record%2FWOS:000822377700001","View Full Record in Web of Science")</f>
        <v>View Full Record in Web of Science</v>
      </c>
    </row>
    <row r="15" spans="1:72" x14ac:dyDescent="0.25">
      <c r="A15" t="s">
        <v>72</v>
      </c>
      <c r="B15" t="s">
        <v>356</v>
      </c>
      <c r="C15" t="s">
        <v>74</v>
      </c>
      <c r="D15" t="s">
        <v>74</v>
      </c>
      <c r="E15" t="s">
        <v>74</v>
      </c>
      <c r="F15" t="s">
        <v>357</v>
      </c>
      <c r="G15" t="s">
        <v>74</v>
      </c>
      <c r="H15" t="s">
        <v>74</v>
      </c>
      <c r="I15" t="s">
        <v>358</v>
      </c>
      <c r="J15" t="s">
        <v>359</v>
      </c>
      <c r="K15" t="s">
        <v>74</v>
      </c>
      <c r="L15" t="s">
        <v>74</v>
      </c>
      <c r="M15" t="s">
        <v>78</v>
      </c>
      <c r="N15" t="s">
        <v>258</v>
      </c>
      <c r="O15" t="s">
        <v>74</v>
      </c>
      <c r="P15" t="s">
        <v>74</v>
      </c>
      <c r="Q15" t="s">
        <v>74</v>
      </c>
      <c r="R15" t="s">
        <v>74</v>
      </c>
      <c r="S15" t="s">
        <v>74</v>
      </c>
      <c r="T15" t="s">
        <v>360</v>
      </c>
      <c r="U15" t="s">
        <v>361</v>
      </c>
      <c r="V15" t="s">
        <v>362</v>
      </c>
      <c r="W15" t="s">
        <v>363</v>
      </c>
      <c r="X15" t="s">
        <v>364</v>
      </c>
      <c r="Y15" t="s">
        <v>365</v>
      </c>
      <c r="Z15" t="s">
        <v>366</v>
      </c>
      <c r="AA15" t="s">
        <v>367</v>
      </c>
      <c r="AB15" t="s">
        <v>368</v>
      </c>
      <c r="AC15" t="s">
        <v>74</v>
      </c>
      <c r="AD15" t="s">
        <v>74</v>
      </c>
      <c r="AE15" t="s">
        <v>74</v>
      </c>
      <c r="AF15" t="s">
        <v>74</v>
      </c>
      <c r="AG15">
        <v>88</v>
      </c>
      <c r="AH15">
        <v>309</v>
      </c>
      <c r="AI15">
        <v>384</v>
      </c>
      <c r="AJ15">
        <v>27</v>
      </c>
      <c r="AK15">
        <v>254</v>
      </c>
      <c r="AL15" t="s">
        <v>369</v>
      </c>
      <c r="AM15" t="s">
        <v>370</v>
      </c>
      <c r="AN15" t="s">
        <v>371</v>
      </c>
      <c r="AO15" t="s">
        <v>74</v>
      </c>
      <c r="AP15" t="s">
        <v>372</v>
      </c>
      <c r="AQ15" t="s">
        <v>74</v>
      </c>
      <c r="AR15" t="s">
        <v>373</v>
      </c>
      <c r="AS15" t="s">
        <v>374</v>
      </c>
      <c r="AT15" t="s">
        <v>375</v>
      </c>
      <c r="AU15">
        <v>2022</v>
      </c>
      <c r="AV15">
        <v>9</v>
      </c>
      <c r="AW15">
        <v>1</v>
      </c>
      <c r="AX15" t="s">
        <v>74</v>
      </c>
      <c r="AY15" t="s">
        <v>74</v>
      </c>
      <c r="AZ15" t="s">
        <v>74</v>
      </c>
      <c r="BA15" t="s">
        <v>74</v>
      </c>
      <c r="BB15" t="s">
        <v>74</v>
      </c>
      <c r="BC15" t="s">
        <v>74</v>
      </c>
      <c r="BD15">
        <v>59</v>
      </c>
      <c r="BE15" t="s">
        <v>376</v>
      </c>
      <c r="BF15" t="str">
        <f>HYPERLINK("http://dx.doi.org/10.1186/s40537-022-00592-5","http://dx.doi.org/10.1186/s40537-022-00592-5")</f>
        <v>http://dx.doi.org/10.1186/s40537-022-00592-5</v>
      </c>
      <c r="BG15" t="s">
        <v>74</v>
      </c>
      <c r="BH15" t="s">
        <v>74</v>
      </c>
      <c r="BI15">
        <v>36</v>
      </c>
      <c r="BJ15" t="s">
        <v>125</v>
      </c>
      <c r="BK15" t="s">
        <v>377</v>
      </c>
      <c r="BL15" t="s">
        <v>102</v>
      </c>
      <c r="BM15" t="s">
        <v>378</v>
      </c>
      <c r="BN15" t="s">
        <v>74</v>
      </c>
      <c r="BO15" t="s">
        <v>379</v>
      </c>
      <c r="BP15" t="s">
        <v>74</v>
      </c>
      <c r="BQ15" t="s">
        <v>74</v>
      </c>
      <c r="BR15" t="s">
        <v>105</v>
      </c>
      <c r="BS15" t="s">
        <v>380</v>
      </c>
      <c r="BT15" t="str">
        <f>HYPERLINK("https%3A%2F%2Fwww.webofscience.com%2Fwos%2Fwoscc%2Ffull-record%2FWOS:000790266600001","View Full Record in Web of Science")</f>
        <v>View Full Record in Web of Science</v>
      </c>
    </row>
    <row r="16" spans="1:72" x14ac:dyDescent="0.25">
      <c r="A16" t="s">
        <v>72</v>
      </c>
      <c r="B16" t="s">
        <v>381</v>
      </c>
      <c r="C16" t="s">
        <v>74</v>
      </c>
      <c r="D16" t="s">
        <v>74</v>
      </c>
      <c r="E16" t="s">
        <v>74</v>
      </c>
      <c r="F16" t="s">
        <v>382</v>
      </c>
      <c r="G16" t="s">
        <v>74</v>
      </c>
      <c r="H16" t="s">
        <v>74</v>
      </c>
      <c r="I16" t="s">
        <v>383</v>
      </c>
      <c r="J16" t="s">
        <v>237</v>
      </c>
      <c r="K16" t="s">
        <v>74</v>
      </c>
      <c r="L16" t="s">
        <v>74</v>
      </c>
      <c r="M16" t="s">
        <v>78</v>
      </c>
      <c r="N16" t="s">
        <v>79</v>
      </c>
      <c r="O16" t="s">
        <v>74</v>
      </c>
      <c r="P16" t="s">
        <v>74</v>
      </c>
      <c r="Q16" t="s">
        <v>74</v>
      </c>
      <c r="R16" t="s">
        <v>74</v>
      </c>
      <c r="S16" t="s">
        <v>74</v>
      </c>
      <c r="T16" t="s">
        <v>384</v>
      </c>
      <c r="U16" t="s">
        <v>385</v>
      </c>
      <c r="V16" t="s">
        <v>386</v>
      </c>
      <c r="W16" t="s">
        <v>387</v>
      </c>
      <c r="X16" t="s">
        <v>388</v>
      </c>
      <c r="Y16" t="s">
        <v>389</v>
      </c>
      <c r="Z16" t="s">
        <v>390</v>
      </c>
      <c r="AA16" t="s">
        <v>391</v>
      </c>
      <c r="AB16" t="s">
        <v>392</v>
      </c>
      <c r="AC16" t="s">
        <v>74</v>
      </c>
      <c r="AD16" t="s">
        <v>74</v>
      </c>
      <c r="AE16" t="s">
        <v>74</v>
      </c>
      <c r="AF16" t="s">
        <v>74</v>
      </c>
      <c r="AG16">
        <v>391</v>
      </c>
      <c r="AH16">
        <v>47</v>
      </c>
      <c r="AI16">
        <v>51</v>
      </c>
      <c r="AJ16">
        <v>0</v>
      </c>
      <c r="AK16">
        <v>0</v>
      </c>
      <c r="AL16" t="s">
        <v>91</v>
      </c>
      <c r="AM16" t="s">
        <v>92</v>
      </c>
      <c r="AN16" t="s">
        <v>93</v>
      </c>
      <c r="AO16" t="s">
        <v>74</v>
      </c>
      <c r="AP16" t="s">
        <v>248</v>
      </c>
      <c r="AQ16" t="s">
        <v>74</v>
      </c>
      <c r="AR16" t="s">
        <v>249</v>
      </c>
      <c r="AS16" t="s">
        <v>250</v>
      </c>
      <c r="AT16" t="s">
        <v>393</v>
      </c>
      <c r="AU16">
        <v>2024</v>
      </c>
      <c r="AV16">
        <v>2</v>
      </c>
      <c r="AW16">
        <v>3</v>
      </c>
      <c r="AX16" t="s">
        <v>74</v>
      </c>
      <c r="AY16" t="s">
        <v>74</v>
      </c>
      <c r="AZ16" t="s">
        <v>74</v>
      </c>
      <c r="BA16" t="s">
        <v>74</v>
      </c>
      <c r="BB16" t="s">
        <v>74</v>
      </c>
      <c r="BC16" t="s">
        <v>74</v>
      </c>
      <c r="BD16">
        <v>20</v>
      </c>
      <c r="BE16" t="s">
        <v>394</v>
      </c>
      <c r="BF16" t="str">
        <f>HYPERLINK("http://dx.doi.org/10.1145/3632297","http://dx.doi.org/10.1145/3632297")</f>
        <v>http://dx.doi.org/10.1145/3632297</v>
      </c>
      <c r="BG16" t="s">
        <v>74</v>
      </c>
      <c r="BH16" t="s">
        <v>74</v>
      </c>
      <c r="BI16">
        <v>57</v>
      </c>
      <c r="BJ16" t="s">
        <v>252</v>
      </c>
      <c r="BK16" t="s">
        <v>253</v>
      </c>
      <c r="BL16" t="s">
        <v>102</v>
      </c>
      <c r="BM16" t="s">
        <v>395</v>
      </c>
      <c r="BN16" t="s">
        <v>74</v>
      </c>
      <c r="BO16" t="s">
        <v>396</v>
      </c>
      <c r="BP16" t="s">
        <v>74</v>
      </c>
      <c r="BQ16" t="s">
        <v>74</v>
      </c>
      <c r="BR16" t="s">
        <v>105</v>
      </c>
      <c r="BS16" t="s">
        <v>397</v>
      </c>
      <c r="BT16" t="str">
        <f>HYPERLINK("https%3A%2F%2Fwww.webofscience.com%2Fwos%2Fwoscc%2Ffull-record%2FWOS:001781098300001","View Full Record in Web of Science")</f>
        <v>View Full Record in Web of Science</v>
      </c>
    </row>
    <row r="17" spans="1:72" x14ac:dyDescent="0.25">
      <c r="A17" t="s">
        <v>72</v>
      </c>
      <c r="B17" t="s">
        <v>398</v>
      </c>
      <c r="C17" t="s">
        <v>74</v>
      </c>
      <c r="D17" t="s">
        <v>74</v>
      </c>
      <c r="E17" t="s">
        <v>74</v>
      </c>
      <c r="F17" t="s">
        <v>399</v>
      </c>
      <c r="G17" t="s">
        <v>74</v>
      </c>
      <c r="H17" t="s">
        <v>74</v>
      </c>
      <c r="I17" t="s">
        <v>400</v>
      </c>
      <c r="J17" t="s">
        <v>110</v>
      </c>
      <c r="K17" t="s">
        <v>74</v>
      </c>
      <c r="L17" t="s">
        <v>74</v>
      </c>
      <c r="M17" t="s">
        <v>78</v>
      </c>
      <c r="N17" t="s">
        <v>79</v>
      </c>
      <c r="O17" t="s">
        <v>74</v>
      </c>
      <c r="P17" t="s">
        <v>74</v>
      </c>
      <c r="Q17" t="s">
        <v>74</v>
      </c>
      <c r="R17" t="s">
        <v>74</v>
      </c>
      <c r="S17" t="s">
        <v>74</v>
      </c>
      <c r="T17" t="s">
        <v>401</v>
      </c>
      <c r="U17" t="s">
        <v>402</v>
      </c>
      <c r="V17" t="s">
        <v>403</v>
      </c>
      <c r="W17" t="s">
        <v>404</v>
      </c>
      <c r="X17" t="s">
        <v>405</v>
      </c>
      <c r="Y17" t="s">
        <v>406</v>
      </c>
      <c r="Z17" t="s">
        <v>407</v>
      </c>
      <c r="AA17" t="s">
        <v>408</v>
      </c>
      <c r="AB17" t="s">
        <v>409</v>
      </c>
      <c r="AC17" t="s">
        <v>410</v>
      </c>
      <c r="AD17" t="s">
        <v>411</v>
      </c>
      <c r="AE17" t="s">
        <v>412</v>
      </c>
      <c r="AF17" t="s">
        <v>74</v>
      </c>
      <c r="AG17">
        <v>230</v>
      </c>
      <c r="AH17">
        <v>170</v>
      </c>
      <c r="AI17">
        <v>193</v>
      </c>
      <c r="AJ17">
        <v>9</v>
      </c>
      <c r="AK17">
        <v>70</v>
      </c>
      <c r="AL17" t="s">
        <v>91</v>
      </c>
      <c r="AM17" t="s">
        <v>92</v>
      </c>
      <c r="AN17" t="s">
        <v>93</v>
      </c>
      <c r="AO17" t="s">
        <v>119</v>
      </c>
      <c r="AP17" t="s">
        <v>120</v>
      </c>
      <c r="AQ17" t="s">
        <v>74</v>
      </c>
      <c r="AR17" t="s">
        <v>121</v>
      </c>
      <c r="AS17" t="s">
        <v>122</v>
      </c>
      <c r="AT17" t="s">
        <v>413</v>
      </c>
      <c r="AU17">
        <v>2023</v>
      </c>
      <c r="AV17">
        <v>55</v>
      </c>
      <c r="AW17">
        <v>8</v>
      </c>
      <c r="AX17" t="s">
        <v>74</v>
      </c>
      <c r="AY17" t="s">
        <v>74</v>
      </c>
      <c r="AZ17" t="s">
        <v>74</v>
      </c>
      <c r="BA17" t="s">
        <v>74</v>
      </c>
      <c r="BB17" t="s">
        <v>74</v>
      </c>
      <c r="BC17" t="s">
        <v>74</v>
      </c>
      <c r="BD17">
        <v>170</v>
      </c>
      <c r="BE17" t="s">
        <v>414</v>
      </c>
      <c r="BF17" t="str">
        <f>HYPERLINK("http://dx.doi.org/10.1145/3556536","http://dx.doi.org/10.1145/3556536")</f>
        <v>http://dx.doi.org/10.1145/3556536</v>
      </c>
      <c r="BG17" t="s">
        <v>74</v>
      </c>
      <c r="BH17" t="s">
        <v>74</v>
      </c>
      <c r="BI17">
        <v>38</v>
      </c>
      <c r="BJ17" t="s">
        <v>125</v>
      </c>
      <c r="BK17" t="s">
        <v>101</v>
      </c>
      <c r="BL17" t="s">
        <v>102</v>
      </c>
      <c r="BM17" t="s">
        <v>415</v>
      </c>
      <c r="BN17" t="s">
        <v>74</v>
      </c>
      <c r="BO17" t="s">
        <v>416</v>
      </c>
      <c r="BP17" t="s">
        <v>74</v>
      </c>
      <c r="BQ17" t="s">
        <v>74</v>
      </c>
      <c r="BR17" t="s">
        <v>105</v>
      </c>
      <c r="BS17" t="s">
        <v>417</v>
      </c>
      <c r="BT17" t="str">
        <f>HYPERLINK("https%3A%2F%2Fwww.webofscience.com%2Fwos%2Fwoscc%2Ffull-record%2FWOS:000905475300018","View Full Record in Web of Science")</f>
        <v>View Full Record in Web of Science</v>
      </c>
    </row>
    <row r="18" spans="1:72" x14ac:dyDescent="0.25">
      <c r="A18" t="s">
        <v>72</v>
      </c>
      <c r="B18" t="s">
        <v>418</v>
      </c>
      <c r="C18" t="s">
        <v>74</v>
      </c>
      <c r="D18" t="s">
        <v>74</v>
      </c>
      <c r="E18" t="s">
        <v>74</v>
      </c>
      <c r="F18" t="s">
        <v>419</v>
      </c>
      <c r="G18" t="s">
        <v>74</v>
      </c>
      <c r="H18" t="s">
        <v>74</v>
      </c>
      <c r="I18" t="s">
        <v>420</v>
      </c>
      <c r="J18" t="s">
        <v>421</v>
      </c>
      <c r="K18" t="s">
        <v>74</v>
      </c>
      <c r="L18" t="s">
        <v>74</v>
      </c>
      <c r="M18" t="s">
        <v>78</v>
      </c>
      <c r="N18" t="s">
        <v>79</v>
      </c>
      <c r="O18" t="s">
        <v>74</v>
      </c>
      <c r="P18" t="s">
        <v>74</v>
      </c>
      <c r="Q18" t="s">
        <v>74</v>
      </c>
      <c r="R18" t="s">
        <v>74</v>
      </c>
      <c r="S18" t="s">
        <v>74</v>
      </c>
      <c r="T18" t="s">
        <v>422</v>
      </c>
      <c r="U18" t="s">
        <v>423</v>
      </c>
      <c r="V18" t="s">
        <v>424</v>
      </c>
      <c r="W18" t="s">
        <v>425</v>
      </c>
      <c r="X18" t="s">
        <v>426</v>
      </c>
      <c r="Y18" t="s">
        <v>427</v>
      </c>
      <c r="Z18" t="s">
        <v>428</v>
      </c>
      <c r="AA18" t="s">
        <v>429</v>
      </c>
      <c r="AB18" t="s">
        <v>430</v>
      </c>
      <c r="AC18" t="s">
        <v>431</v>
      </c>
      <c r="AD18" t="s">
        <v>432</v>
      </c>
      <c r="AE18" t="s">
        <v>433</v>
      </c>
      <c r="AF18" t="s">
        <v>74</v>
      </c>
      <c r="AG18">
        <v>39</v>
      </c>
      <c r="AH18">
        <v>6</v>
      </c>
      <c r="AI18">
        <v>7</v>
      </c>
      <c r="AJ18">
        <v>12</v>
      </c>
      <c r="AK18">
        <v>35</v>
      </c>
      <c r="AL18" t="s">
        <v>434</v>
      </c>
      <c r="AM18" t="s">
        <v>435</v>
      </c>
      <c r="AN18" t="s">
        <v>436</v>
      </c>
      <c r="AO18" t="s">
        <v>437</v>
      </c>
      <c r="AP18" t="s">
        <v>438</v>
      </c>
      <c r="AQ18" t="s">
        <v>74</v>
      </c>
      <c r="AR18" t="s">
        <v>439</v>
      </c>
      <c r="AS18" t="s">
        <v>440</v>
      </c>
      <c r="AT18" t="s">
        <v>393</v>
      </c>
      <c r="AU18">
        <v>2025</v>
      </c>
      <c r="AV18">
        <v>287</v>
      </c>
      <c r="AW18" t="s">
        <v>74</v>
      </c>
      <c r="AX18" t="s">
        <v>74</v>
      </c>
      <c r="AY18" t="s">
        <v>74</v>
      </c>
      <c r="AZ18" t="s">
        <v>74</v>
      </c>
      <c r="BA18" t="s">
        <v>74</v>
      </c>
      <c r="BB18" t="s">
        <v>74</v>
      </c>
      <c r="BC18" t="s">
        <v>74</v>
      </c>
      <c r="BD18">
        <v>109677</v>
      </c>
      <c r="BE18" t="s">
        <v>441</v>
      </c>
      <c r="BF18" t="str">
        <f>HYPERLINK("http://dx.doi.org/10.1016/j.ijpe.2025.109677","http://dx.doi.org/10.1016/j.ijpe.2025.109677")</f>
        <v>http://dx.doi.org/10.1016/j.ijpe.2025.109677</v>
      </c>
      <c r="BG18" t="s">
        <v>74</v>
      </c>
      <c r="BH18" t="s">
        <v>442</v>
      </c>
      <c r="BI18">
        <v>17</v>
      </c>
      <c r="BJ18" t="s">
        <v>443</v>
      </c>
      <c r="BK18" t="s">
        <v>101</v>
      </c>
      <c r="BL18" t="s">
        <v>444</v>
      </c>
      <c r="BM18" t="s">
        <v>445</v>
      </c>
      <c r="BN18" t="s">
        <v>74</v>
      </c>
      <c r="BO18" t="s">
        <v>74</v>
      </c>
      <c r="BP18" t="s">
        <v>74</v>
      </c>
      <c r="BQ18" t="s">
        <v>74</v>
      </c>
      <c r="BR18" t="s">
        <v>105</v>
      </c>
      <c r="BS18" t="s">
        <v>446</v>
      </c>
      <c r="BT18" t="str">
        <f>HYPERLINK("https%3A%2F%2Fwww.webofscience.com%2Fwos%2Fwoscc%2Ffull-record%2FWOS:001504763300002","View Full Record in Web of Science")</f>
        <v>View Full Record in Web of Science</v>
      </c>
    </row>
    <row r="19" spans="1:72" x14ac:dyDescent="0.25">
      <c r="A19" t="s">
        <v>72</v>
      </c>
      <c r="B19" t="s">
        <v>447</v>
      </c>
      <c r="C19" t="s">
        <v>74</v>
      </c>
      <c r="D19" t="s">
        <v>74</v>
      </c>
      <c r="E19" t="s">
        <v>74</v>
      </c>
      <c r="F19" t="s">
        <v>448</v>
      </c>
      <c r="G19" t="s">
        <v>74</v>
      </c>
      <c r="H19" t="s">
        <v>74</v>
      </c>
      <c r="I19" t="s">
        <v>449</v>
      </c>
      <c r="J19" t="s">
        <v>450</v>
      </c>
      <c r="K19" t="s">
        <v>74</v>
      </c>
      <c r="L19" t="s">
        <v>74</v>
      </c>
      <c r="M19" t="s">
        <v>78</v>
      </c>
      <c r="N19" t="s">
        <v>79</v>
      </c>
      <c r="O19" t="s">
        <v>74</v>
      </c>
      <c r="P19" t="s">
        <v>74</v>
      </c>
      <c r="Q19" t="s">
        <v>74</v>
      </c>
      <c r="R19" t="s">
        <v>74</v>
      </c>
      <c r="S19" t="s">
        <v>74</v>
      </c>
      <c r="T19" t="s">
        <v>451</v>
      </c>
      <c r="U19" t="s">
        <v>452</v>
      </c>
      <c r="V19" t="s">
        <v>453</v>
      </c>
      <c r="W19" t="s">
        <v>454</v>
      </c>
      <c r="X19" t="s">
        <v>455</v>
      </c>
      <c r="Y19" t="s">
        <v>456</v>
      </c>
      <c r="Z19" t="s">
        <v>457</v>
      </c>
      <c r="AA19" t="s">
        <v>458</v>
      </c>
      <c r="AB19" t="s">
        <v>459</v>
      </c>
      <c r="AC19" t="s">
        <v>460</v>
      </c>
      <c r="AD19" t="s">
        <v>461</v>
      </c>
      <c r="AE19" t="s">
        <v>462</v>
      </c>
      <c r="AF19" t="s">
        <v>74</v>
      </c>
      <c r="AG19">
        <v>152</v>
      </c>
      <c r="AH19">
        <v>26</v>
      </c>
      <c r="AI19">
        <v>28</v>
      </c>
      <c r="AJ19">
        <v>5</v>
      </c>
      <c r="AK19">
        <v>26</v>
      </c>
      <c r="AL19" t="s">
        <v>91</v>
      </c>
      <c r="AM19" t="s">
        <v>92</v>
      </c>
      <c r="AN19" t="s">
        <v>93</v>
      </c>
      <c r="AO19" t="s">
        <v>463</v>
      </c>
      <c r="AP19" t="s">
        <v>464</v>
      </c>
      <c r="AQ19" t="s">
        <v>74</v>
      </c>
      <c r="AR19" t="s">
        <v>465</v>
      </c>
      <c r="AS19" t="s">
        <v>466</v>
      </c>
      <c r="AT19" t="s">
        <v>467</v>
      </c>
      <c r="AU19">
        <v>2024</v>
      </c>
      <c r="AV19">
        <v>18</v>
      </c>
      <c r="AW19">
        <v>1</v>
      </c>
      <c r="AX19" t="s">
        <v>74</v>
      </c>
      <c r="AY19" t="s">
        <v>74</v>
      </c>
      <c r="AZ19" t="s">
        <v>74</v>
      </c>
      <c r="BA19" t="s">
        <v>74</v>
      </c>
      <c r="BB19" t="s">
        <v>74</v>
      </c>
      <c r="BC19" t="s">
        <v>74</v>
      </c>
      <c r="BD19">
        <v>10</v>
      </c>
      <c r="BE19" t="s">
        <v>468</v>
      </c>
      <c r="BF19" t="str">
        <f>HYPERLINK("http://dx.doi.org/10.1145/3604558","http://dx.doi.org/10.1145/3604558")</f>
        <v>http://dx.doi.org/10.1145/3604558</v>
      </c>
      <c r="BG19" t="s">
        <v>74</v>
      </c>
      <c r="BH19" t="s">
        <v>74</v>
      </c>
      <c r="BI19">
        <v>37</v>
      </c>
      <c r="BJ19" t="s">
        <v>469</v>
      </c>
      <c r="BK19" t="s">
        <v>101</v>
      </c>
      <c r="BL19" t="s">
        <v>102</v>
      </c>
      <c r="BM19" t="s">
        <v>470</v>
      </c>
      <c r="BN19" t="s">
        <v>74</v>
      </c>
      <c r="BO19" t="s">
        <v>74</v>
      </c>
      <c r="BP19" t="s">
        <v>74</v>
      </c>
      <c r="BQ19" t="s">
        <v>74</v>
      </c>
      <c r="BR19" t="s">
        <v>105</v>
      </c>
      <c r="BS19" t="s">
        <v>471</v>
      </c>
      <c r="BT19" t="str">
        <f>HYPERLINK("https%3A%2F%2Fwww.webofscience.com%2Fwos%2Fwoscc%2Ffull-record%2FWOS:001092326600010","View Full Record in Web of Science")</f>
        <v>View Full Record in Web of Science</v>
      </c>
    </row>
    <row r="20" spans="1:72" x14ac:dyDescent="0.25">
      <c r="A20" t="s">
        <v>72</v>
      </c>
      <c r="B20" t="s">
        <v>472</v>
      </c>
      <c r="C20" t="s">
        <v>74</v>
      </c>
      <c r="D20" t="s">
        <v>74</v>
      </c>
      <c r="E20" t="s">
        <v>74</v>
      </c>
      <c r="F20" t="s">
        <v>473</v>
      </c>
      <c r="G20" t="s">
        <v>74</v>
      </c>
      <c r="H20" t="s">
        <v>74</v>
      </c>
      <c r="I20" t="s">
        <v>474</v>
      </c>
      <c r="J20" t="s">
        <v>475</v>
      </c>
      <c r="K20" t="s">
        <v>74</v>
      </c>
      <c r="L20" t="s">
        <v>74</v>
      </c>
      <c r="M20" t="s">
        <v>78</v>
      </c>
      <c r="N20" t="s">
        <v>79</v>
      </c>
      <c r="O20" t="s">
        <v>74</v>
      </c>
      <c r="P20" t="s">
        <v>74</v>
      </c>
      <c r="Q20" t="s">
        <v>74</v>
      </c>
      <c r="R20" t="s">
        <v>74</v>
      </c>
      <c r="S20" t="s">
        <v>74</v>
      </c>
      <c r="T20" t="s">
        <v>476</v>
      </c>
      <c r="U20" t="s">
        <v>477</v>
      </c>
      <c r="V20" t="s">
        <v>478</v>
      </c>
      <c r="W20" t="s">
        <v>479</v>
      </c>
      <c r="X20" t="s">
        <v>480</v>
      </c>
      <c r="Y20" t="s">
        <v>481</v>
      </c>
      <c r="Z20" t="s">
        <v>482</v>
      </c>
      <c r="AA20" t="s">
        <v>483</v>
      </c>
      <c r="AB20" t="s">
        <v>484</v>
      </c>
      <c r="AC20" t="s">
        <v>485</v>
      </c>
      <c r="AD20" t="s">
        <v>485</v>
      </c>
      <c r="AE20" t="s">
        <v>332</v>
      </c>
      <c r="AF20" t="s">
        <v>74</v>
      </c>
      <c r="AG20">
        <v>127</v>
      </c>
      <c r="AH20">
        <v>27</v>
      </c>
      <c r="AI20">
        <v>28</v>
      </c>
      <c r="AJ20">
        <v>2</v>
      </c>
      <c r="AK20">
        <v>8</v>
      </c>
      <c r="AL20" t="s">
        <v>170</v>
      </c>
      <c r="AM20" t="s">
        <v>171</v>
      </c>
      <c r="AN20" t="s">
        <v>172</v>
      </c>
      <c r="AO20" t="s">
        <v>74</v>
      </c>
      <c r="AP20" t="s">
        <v>486</v>
      </c>
      <c r="AQ20" t="s">
        <v>74</v>
      </c>
      <c r="AR20" t="s">
        <v>487</v>
      </c>
      <c r="AS20" t="s">
        <v>488</v>
      </c>
      <c r="AT20" t="s">
        <v>74</v>
      </c>
      <c r="AU20">
        <v>2024</v>
      </c>
      <c r="AV20">
        <v>5</v>
      </c>
      <c r="AW20" t="s">
        <v>74</v>
      </c>
      <c r="AX20" t="s">
        <v>74</v>
      </c>
      <c r="AY20" t="s">
        <v>74</v>
      </c>
      <c r="AZ20" t="s">
        <v>74</v>
      </c>
      <c r="BA20" t="s">
        <v>74</v>
      </c>
      <c r="BB20">
        <v>227</v>
      </c>
      <c r="BC20">
        <v>247</v>
      </c>
      <c r="BD20" t="s">
        <v>74</v>
      </c>
      <c r="BE20" t="s">
        <v>489</v>
      </c>
      <c r="BF20" t="str">
        <f>HYPERLINK("http://dx.doi.org/10.1109/OJCS.2024.3396344","http://dx.doi.org/10.1109/OJCS.2024.3396344")</f>
        <v>http://dx.doi.org/10.1109/OJCS.2024.3396344</v>
      </c>
      <c r="BG20" t="s">
        <v>74</v>
      </c>
      <c r="BH20" t="s">
        <v>74</v>
      </c>
      <c r="BI20">
        <v>21</v>
      </c>
      <c r="BJ20" t="s">
        <v>490</v>
      </c>
      <c r="BK20" t="s">
        <v>253</v>
      </c>
      <c r="BL20" t="s">
        <v>153</v>
      </c>
      <c r="BM20" t="s">
        <v>491</v>
      </c>
      <c r="BN20" t="s">
        <v>74</v>
      </c>
      <c r="BO20" t="s">
        <v>492</v>
      </c>
      <c r="BP20" t="s">
        <v>74</v>
      </c>
      <c r="BQ20" t="s">
        <v>74</v>
      </c>
      <c r="BR20" t="s">
        <v>105</v>
      </c>
      <c r="BS20" t="s">
        <v>493</v>
      </c>
      <c r="BT20" t="str">
        <f>HYPERLINK("https%3A%2F%2Fwww.webofscience.com%2Fwos%2Fwoscc%2Ffull-record%2FWOS:001224407700001","View Full Record in Web of Science")</f>
        <v>View Full Record in Web of Science</v>
      </c>
    </row>
    <row r="21" spans="1:72" x14ac:dyDescent="0.25">
      <c r="A21" t="s">
        <v>72</v>
      </c>
      <c r="B21" t="s">
        <v>494</v>
      </c>
      <c r="C21" t="s">
        <v>74</v>
      </c>
      <c r="D21" t="s">
        <v>74</v>
      </c>
      <c r="E21" t="s">
        <v>74</v>
      </c>
      <c r="F21" t="s">
        <v>495</v>
      </c>
      <c r="G21" t="s">
        <v>74</v>
      </c>
      <c r="H21" t="s">
        <v>74</v>
      </c>
      <c r="I21" t="s">
        <v>496</v>
      </c>
      <c r="J21" t="s">
        <v>497</v>
      </c>
      <c r="K21" t="s">
        <v>74</v>
      </c>
      <c r="L21" t="s">
        <v>74</v>
      </c>
      <c r="M21" t="s">
        <v>78</v>
      </c>
      <c r="N21" t="s">
        <v>258</v>
      </c>
      <c r="O21" t="s">
        <v>74</v>
      </c>
      <c r="P21" t="s">
        <v>74</v>
      </c>
      <c r="Q21" t="s">
        <v>74</v>
      </c>
      <c r="R21" t="s">
        <v>74</v>
      </c>
      <c r="S21" t="s">
        <v>74</v>
      </c>
      <c r="T21" t="s">
        <v>498</v>
      </c>
      <c r="U21" t="s">
        <v>477</v>
      </c>
      <c r="V21" t="s">
        <v>499</v>
      </c>
      <c r="W21" t="s">
        <v>500</v>
      </c>
      <c r="X21" t="s">
        <v>501</v>
      </c>
      <c r="Y21" t="s">
        <v>502</v>
      </c>
      <c r="Z21" t="s">
        <v>503</v>
      </c>
      <c r="AA21" t="s">
        <v>504</v>
      </c>
      <c r="AB21" t="s">
        <v>505</v>
      </c>
      <c r="AC21" t="s">
        <v>506</v>
      </c>
      <c r="AD21" t="s">
        <v>506</v>
      </c>
      <c r="AE21" t="s">
        <v>332</v>
      </c>
      <c r="AF21" t="s">
        <v>74</v>
      </c>
      <c r="AG21">
        <v>86</v>
      </c>
      <c r="AH21">
        <v>26</v>
      </c>
      <c r="AI21">
        <v>33</v>
      </c>
      <c r="AJ21">
        <v>14</v>
      </c>
      <c r="AK21">
        <v>105</v>
      </c>
      <c r="AL21" t="s">
        <v>170</v>
      </c>
      <c r="AM21" t="s">
        <v>171</v>
      </c>
      <c r="AN21" t="s">
        <v>172</v>
      </c>
      <c r="AO21" t="s">
        <v>507</v>
      </c>
      <c r="AP21" t="s">
        <v>74</v>
      </c>
      <c r="AQ21" t="s">
        <v>74</v>
      </c>
      <c r="AR21" t="s">
        <v>497</v>
      </c>
      <c r="AS21" t="s">
        <v>508</v>
      </c>
      <c r="AT21" t="s">
        <v>74</v>
      </c>
      <c r="AU21">
        <v>2024</v>
      </c>
      <c r="AV21">
        <v>12</v>
      </c>
      <c r="AW21" t="s">
        <v>74</v>
      </c>
      <c r="AX21" t="s">
        <v>74</v>
      </c>
      <c r="AY21" t="s">
        <v>74</v>
      </c>
      <c r="AZ21" t="s">
        <v>74</v>
      </c>
      <c r="BA21" t="s">
        <v>74</v>
      </c>
      <c r="BB21">
        <v>19827</v>
      </c>
      <c r="BC21">
        <v>19847</v>
      </c>
      <c r="BD21" t="s">
        <v>74</v>
      </c>
      <c r="BE21" t="s">
        <v>509</v>
      </c>
      <c r="BF21" t="str">
        <f>HYPERLINK("http://dx.doi.org/10.1109/ACCESS.2024.3359274","http://dx.doi.org/10.1109/ACCESS.2024.3359274")</f>
        <v>http://dx.doi.org/10.1109/ACCESS.2024.3359274</v>
      </c>
      <c r="BG21" t="s">
        <v>74</v>
      </c>
      <c r="BH21" t="s">
        <v>74</v>
      </c>
      <c r="BI21">
        <v>21</v>
      </c>
      <c r="BJ21" t="s">
        <v>510</v>
      </c>
      <c r="BK21" t="s">
        <v>101</v>
      </c>
      <c r="BL21" t="s">
        <v>511</v>
      </c>
      <c r="BM21" t="s">
        <v>512</v>
      </c>
      <c r="BN21" t="s">
        <v>74</v>
      </c>
      <c r="BO21" t="s">
        <v>492</v>
      </c>
      <c r="BP21" t="s">
        <v>74</v>
      </c>
      <c r="BQ21" t="s">
        <v>74</v>
      </c>
      <c r="BR21" t="s">
        <v>105</v>
      </c>
      <c r="BS21" t="s">
        <v>513</v>
      </c>
      <c r="BT21" t="str">
        <f>HYPERLINK("https%3A%2F%2Fwww.webofscience.com%2Fwos%2Fwoscc%2Ffull-record%2FWOS:001160994200001","View Full Record in Web of Science")</f>
        <v>View Full Record in Web of Science</v>
      </c>
    </row>
    <row r="22" spans="1:72" x14ac:dyDescent="0.25">
      <c r="A22" t="s">
        <v>72</v>
      </c>
      <c r="B22" t="s">
        <v>514</v>
      </c>
      <c r="C22" t="s">
        <v>74</v>
      </c>
      <c r="D22" t="s">
        <v>74</v>
      </c>
      <c r="E22" t="s">
        <v>74</v>
      </c>
      <c r="F22" t="s">
        <v>515</v>
      </c>
      <c r="G22" t="s">
        <v>74</v>
      </c>
      <c r="H22" t="s">
        <v>74</v>
      </c>
      <c r="I22" t="s">
        <v>516</v>
      </c>
      <c r="J22" t="s">
        <v>237</v>
      </c>
      <c r="K22" t="s">
        <v>74</v>
      </c>
      <c r="L22" t="s">
        <v>74</v>
      </c>
      <c r="M22" t="s">
        <v>78</v>
      </c>
      <c r="N22" t="s">
        <v>79</v>
      </c>
      <c r="O22" t="s">
        <v>74</v>
      </c>
      <c r="P22" t="s">
        <v>74</v>
      </c>
      <c r="Q22" t="s">
        <v>74</v>
      </c>
      <c r="R22" t="s">
        <v>74</v>
      </c>
      <c r="S22" t="s">
        <v>74</v>
      </c>
      <c r="T22" t="s">
        <v>517</v>
      </c>
      <c r="U22" t="s">
        <v>74</v>
      </c>
      <c r="V22" t="s">
        <v>518</v>
      </c>
      <c r="W22" t="s">
        <v>519</v>
      </c>
      <c r="X22" t="s">
        <v>520</v>
      </c>
      <c r="Y22" t="s">
        <v>84</v>
      </c>
      <c r="Z22" t="s">
        <v>521</v>
      </c>
      <c r="AA22" t="s">
        <v>522</v>
      </c>
      <c r="AB22" t="s">
        <v>74</v>
      </c>
      <c r="AC22" t="s">
        <v>523</v>
      </c>
      <c r="AD22" t="s">
        <v>524</v>
      </c>
      <c r="AE22" t="s">
        <v>525</v>
      </c>
      <c r="AF22" t="s">
        <v>74</v>
      </c>
      <c r="AG22">
        <v>88</v>
      </c>
      <c r="AH22">
        <v>47</v>
      </c>
      <c r="AI22">
        <v>47</v>
      </c>
      <c r="AJ22">
        <v>1</v>
      </c>
      <c r="AK22">
        <v>1</v>
      </c>
      <c r="AL22" t="s">
        <v>91</v>
      </c>
      <c r="AM22" t="s">
        <v>92</v>
      </c>
      <c r="AN22" t="s">
        <v>93</v>
      </c>
      <c r="AO22" t="s">
        <v>74</v>
      </c>
      <c r="AP22" t="s">
        <v>248</v>
      </c>
      <c r="AQ22" t="s">
        <v>74</v>
      </c>
      <c r="AR22" t="s">
        <v>249</v>
      </c>
      <c r="AS22" t="s">
        <v>250</v>
      </c>
      <c r="AT22" t="s">
        <v>216</v>
      </c>
      <c r="AU22">
        <v>2026</v>
      </c>
      <c r="AV22">
        <v>4</v>
      </c>
      <c r="AW22">
        <v>1</v>
      </c>
      <c r="AX22" t="s">
        <v>74</v>
      </c>
      <c r="AY22" t="s">
        <v>74</v>
      </c>
      <c r="AZ22" t="s">
        <v>74</v>
      </c>
      <c r="BA22" t="s">
        <v>74</v>
      </c>
      <c r="BB22" t="s">
        <v>74</v>
      </c>
      <c r="BC22" t="s">
        <v>74</v>
      </c>
      <c r="BD22">
        <v>7</v>
      </c>
      <c r="BE22" t="s">
        <v>526</v>
      </c>
      <c r="BF22" t="str">
        <f>HYPERLINK("http://dx.doi.org/10.1145/3682076","http://dx.doi.org/10.1145/3682076")</f>
        <v>http://dx.doi.org/10.1145/3682076</v>
      </c>
      <c r="BG22" t="s">
        <v>74</v>
      </c>
      <c r="BH22" t="s">
        <v>74</v>
      </c>
      <c r="BI22">
        <v>31</v>
      </c>
      <c r="BJ22" t="s">
        <v>252</v>
      </c>
      <c r="BK22" t="s">
        <v>253</v>
      </c>
      <c r="BL22" t="s">
        <v>102</v>
      </c>
      <c r="BM22" t="s">
        <v>527</v>
      </c>
      <c r="BN22" t="s">
        <v>74</v>
      </c>
      <c r="BO22" t="s">
        <v>104</v>
      </c>
      <c r="BP22" t="s">
        <v>74</v>
      </c>
      <c r="BQ22" t="s">
        <v>74</v>
      </c>
      <c r="BR22" t="s">
        <v>105</v>
      </c>
      <c r="BS22" t="s">
        <v>528</v>
      </c>
      <c r="BT22" t="str">
        <f>HYPERLINK("https%3A%2F%2Fwww.webofscience.com%2Fwos%2Fwoscc%2Ffull-record%2FWOS:001780080200001","View Full Record in Web of Science")</f>
        <v>View Full Record in Web of Science</v>
      </c>
    </row>
    <row r="23" spans="1:72" x14ac:dyDescent="0.25">
      <c r="A23" t="s">
        <v>72</v>
      </c>
      <c r="B23" t="s">
        <v>529</v>
      </c>
      <c r="C23" t="s">
        <v>74</v>
      </c>
      <c r="D23" t="s">
        <v>74</v>
      </c>
      <c r="E23" t="s">
        <v>74</v>
      </c>
      <c r="F23" t="s">
        <v>530</v>
      </c>
      <c r="G23" t="s">
        <v>74</v>
      </c>
      <c r="H23" t="s">
        <v>74</v>
      </c>
      <c r="I23" t="s">
        <v>531</v>
      </c>
      <c r="J23" t="s">
        <v>532</v>
      </c>
      <c r="K23" t="s">
        <v>74</v>
      </c>
      <c r="L23" t="s">
        <v>74</v>
      </c>
      <c r="M23" t="s">
        <v>78</v>
      </c>
      <c r="N23" t="s">
        <v>79</v>
      </c>
      <c r="O23" t="s">
        <v>74</v>
      </c>
      <c r="P23" t="s">
        <v>74</v>
      </c>
      <c r="Q23" t="s">
        <v>74</v>
      </c>
      <c r="R23" t="s">
        <v>74</v>
      </c>
      <c r="S23" t="s">
        <v>74</v>
      </c>
      <c r="T23" t="s">
        <v>533</v>
      </c>
      <c r="U23" t="s">
        <v>74</v>
      </c>
      <c r="V23" t="s">
        <v>534</v>
      </c>
      <c r="W23" t="s">
        <v>535</v>
      </c>
      <c r="X23" t="s">
        <v>536</v>
      </c>
      <c r="Y23" t="s">
        <v>537</v>
      </c>
      <c r="Z23" t="s">
        <v>538</v>
      </c>
      <c r="AA23" t="s">
        <v>539</v>
      </c>
      <c r="AB23" t="s">
        <v>540</v>
      </c>
      <c r="AC23" t="s">
        <v>74</v>
      </c>
      <c r="AD23" t="s">
        <v>74</v>
      </c>
      <c r="AE23" t="s">
        <v>74</v>
      </c>
      <c r="AF23" t="s">
        <v>74</v>
      </c>
      <c r="AG23">
        <v>150</v>
      </c>
      <c r="AH23">
        <v>109</v>
      </c>
      <c r="AI23">
        <v>131</v>
      </c>
      <c r="AJ23">
        <v>8</v>
      </c>
      <c r="AK23">
        <v>132</v>
      </c>
      <c r="AL23" t="s">
        <v>434</v>
      </c>
      <c r="AM23" t="s">
        <v>435</v>
      </c>
      <c r="AN23" t="s">
        <v>436</v>
      </c>
      <c r="AO23" t="s">
        <v>541</v>
      </c>
      <c r="AP23" t="s">
        <v>542</v>
      </c>
      <c r="AQ23" t="s">
        <v>74</v>
      </c>
      <c r="AR23" t="s">
        <v>543</v>
      </c>
      <c r="AS23" t="s">
        <v>544</v>
      </c>
      <c r="AT23" t="s">
        <v>545</v>
      </c>
      <c r="AU23">
        <v>2023</v>
      </c>
      <c r="AV23">
        <v>264</v>
      </c>
      <c r="AW23" t="s">
        <v>74</v>
      </c>
      <c r="AX23" t="s">
        <v>74</v>
      </c>
      <c r="AY23" t="s">
        <v>74</v>
      </c>
      <c r="AZ23" t="s">
        <v>74</v>
      </c>
      <c r="BA23" t="s">
        <v>74</v>
      </c>
      <c r="BB23" t="s">
        <v>74</v>
      </c>
      <c r="BC23" t="s">
        <v>74</v>
      </c>
      <c r="BD23">
        <v>110335</v>
      </c>
      <c r="BE23" t="s">
        <v>546</v>
      </c>
      <c r="BF23" t="str">
        <f>HYPERLINK("http://dx.doi.org/10.1016/j.knosys.2023.110335","http://dx.doi.org/10.1016/j.knosys.2023.110335")</f>
        <v>http://dx.doi.org/10.1016/j.knosys.2023.110335</v>
      </c>
      <c r="BG23" t="s">
        <v>74</v>
      </c>
      <c r="BH23" t="s">
        <v>547</v>
      </c>
      <c r="BI23">
        <v>19</v>
      </c>
      <c r="BJ23" t="s">
        <v>316</v>
      </c>
      <c r="BK23" t="s">
        <v>101</v>
      </c>
      <c r="BL23" t="s">
        <v>102</v>
      </c>
      <c r="BM23" t="s">
        <v>548</v>
      </c>
      <c r="BN23" t="s">
        <v>74</v>
      </c>
      <c r="BO23" t="s">
        <v>549</v>
      </c>
      <c r="BP23" t="s">
        <v>74</v>
      </c>
      <c r="BQ23" t="s">
        <v>74</v>
      </c>
      <c r="BR23" t="s">
        <v>105</v>
      </c>
      <c r="BS23" t="s">
        <v>550</v>
      </c>
      <c r="BT23" t="str">
        <f>HYPERLINK("https%3A%2F%2Fwww.webofscience.com%2Fwos%2Fwoscc%2Ffull-record%2FWOS:000931600600001","View Full Record in Web of Science")</f>
        <v>View Full Record in Web of Science</v>
      </c>
    </row>
    <row r="24" spans="1:72" x14ac:dyDescent="0.25">
      <c r="A24" t="s">
        <v>72</v>
      </c>
      <c r="B24" t="s">
        <v>551</v>
      </c>
      <c r="C24" t="s">
        <v>74</v>
      </c>
      <c r="D24" t="s">
        <v>74</v>
      </c>
      <c r="E24" t="s">
        <v>74</v>
      </c>
      <c r="F24" t="s">
        <v>552</v>
      </c>
      <c r="G24" t="s">
        <v>74</v>
      </c>
      <c r="H24" t="s">
        <v>74</v>
      </c>
      <c r="I24" t="s">
        <v>553</v>
      </c>
      <c r="J24" t="s">
        <v>497</v>
      </c>
      <c r="K24" t="s">
        <v>74</v>
      </c>
      <c r="L24" t="s">
        <v>74</v>
      </c>
      <c r="M24" t="s">
        <v>78</v>
      </c>
      <c r="N24" t="s">
        <v>79</v>
      </c>
      <c r="O24" t="s">
        <v>74</v>
      </c>
      <c r="P24" t="s">
        <v>74</v>
      </c>
      <c r="Q24" t="s">
        <v>74</v>
      </c>
      <c r="R24" t="s">
        <v>74</v>
      </c>
      <c r="S24" t="s">
        <v>74</v>
      </c>
      <c r="T24" t="s">
        <v>554</v>
      </c>
      <c r="U24" t="s">
        <v>555</v>
      </c>
      <c r="V24" t="s">
        <v>556</v>
      </c>
      <c r="W24" t="s">
        <v>557</v>
      </c>
      <c r="X24" t="s">
        <v>558</v>
      </c>
      <c r="Y24" t="s">
        <v>559</v>
      </c>
      <c r="Z24" t="s">
        <v>560</v>
      </c>
      <c r="AA24" t="s">
        <v>561</v>
      </c>
      <c r="AB24" t="s">
        <v>562</v>
      </c>
      <c r="AC24" t="s">
        <v>74</v>
      </c>
      <c r="AD24" t="s">
        <v>74</v>
      </c>
      <c r="AE24" t="s">
        <v>74</v>
      </c>
      <c r="AF24" t="s">
        <v>74</v>
      </c>
      <c r="AG24">
        <v>41</v>
      </c>
      <c r="AH24">
        <v>4</v>
      </c>
      <c r="AI24">
        <v>4</v>
      </c>
      <c r="AJ24">
        <v>2</v>
      </c>
      <c r="AK24">
        <v>5</v>
      </c>
      <c r="AL24" t="s">
        <v>170</v>
      </c>
      <c r="AM24" t="s">
        <v>171</v>
      </c>
      <c r="AN24" t="s">
        <v>172</v>
      </c>
      <c r="AO24" t="s">
        <v>507</v>
      </c>
      <c r="AP24" t="s">
        <v>74</v>
      </c>
      <c r="AQ24" t="s">
        <v>74</v>
      </c>
      <c r="AR24" t="s">
        <v>497</v>
      </c>
      <c r="AS24" t="s">
        <v>508</v>
      </c>
      <c r="AT24" t="s">
        <v>74</v>
      </c>
      <c r="AU24">
        <v>2025</v>
      </c>
      <c r="AV24">
        <v>13</v>
      </c>
      <c r="AW24" t="s">
        <v>74</v>
      </c>
      <c r="AX24" t="s">
        <v>74</v>
      </c>
      <c r="AY24" t="s">
        <v>74</v>
      </c>
      <c r="AZ24" t="s">
        <v>74</v>
      </c>
      <c r="BA24" t="s">
        <v>74</v>
      </c>
      <c r="BB24">
        <v>67476</v>
      </c>
      <c r="BC24">
        <v>67487</v>
      </c>
      <c r="BD24" t="s">
        <v>74</v>
      </c>
      <c r="BE24" t="s">
        <v>563</v>
      </c>
      <c r="BF24" t="str">
        <f>HYPERLINK("http://dx.doi.org/10.1109/ACCESS.2025.3557945","http://dx.doi.org/10.1109/ACCESS.2025.3557945")</f>
        <v>http://dx.doi.org/10.1109/ACCESS.2025.3557945</v>
      </c>
      <c r="BG24" t="s">
        <v>74</v>
      </c>
      <c r="BH24" t="s">
        <v>74</v>
      </c>
      <c r="BI24">
        <v>12</v>
      </c>
      <c r="BJ24" t="s">
        <v>510</v>
      </c>
      <c r="BK24" t="s">
        <v>101</v>
      </c>
      <c r="BL24" t="s">
        <v>511</v>
      </c>
      <c r="BM24" t="s">
        <v>564</v>
      </c>
      <c r="BN24" t="s">
        <v>74</v>
      </c>
      <c r="BO24" t="s">
        <v>492</v>
      </c>
      <c r="BP24" t="s">
        <v>74</v>
      </c>
      <c r="BQ24" t="s">
        <v>74</v>
      </c>
      <c r="BR24" t="s">
        <v>105</v>
      </c>
      <c r="BS24" t="s">
        <v>565</v>
      </c>
      <c r="BT24" t="str">
        <f>HYPERLINK("https%3A%2F%2Fwww.webofscience.com%2Fwos%2Fwoscc%2Ffull-record%2FWOS:001473215600036","View Full Record in Web of Science")</f>
        <v>View Full Record in Web of Science</v>
      </c>
    </row>
    <row r="25" spans="1:72" x14ac:dyDescent="0.25">
      <c r="A25" t="s">
        <v>72</v>
      </c>
      <c r="B25" t="s">
        <v>566</v>
      </c>
      <c r="C25" t="s">
        <v>74</v>
      </c>
      <c r="D25" t="s">
        <v>74</v>
      </c>
      <c r="E25" t="s">
        <v>74</v>
      </c>
      <c r="F25" t="s">
        <v>567</v>
      </c>
      <c r="G25" t="s">
        <v>74</v>
      </c>
      <c r="H25" t="s">
        <v>74</v>
      </c>
      <c r="I25" t="s">
        <v>568</v>
      </c>
      <c r="J25" t="s">
        <v>569</v>
      </c>
      <c r="K25" t="s">
        <v>74</v>
      </c>
      <c r="L25" t="s">
        <v>74</v>
      </c>
      <c r="M25" t="s">
        <v>78</v>
      </c>
      <c r="N25" t="s">
        <v>79</v>
      </c>
      <c r="O25" t="s">
        <v>74</v>
      </c>
      <c r="P25" t="s">
        <v>74</v>
      </c>
      <c r="Q25" t="s">
        <v>74</v>
      </c>
      <c r="R25" t="s">
        <v>74</v>
      </c>
      <c r="S25" t="s">
        <v>74</v>
      </c>
      <c r="T25" t="s">
        <v>570</v>
      </c>
      <c r="U25" t="s">
        <v>571</v>
      </c>
      <c r="V25" t="s">
        <v>572</v>
      </c>
      <c r="W25" t="s">
        <v>573</v>
      </c>
      <c r="X25" t="s">
        <v>574</v>
      </c>
      <c r="Y25" t="s">
        <v>575</v>
      </c>
      <c r="Z25" t="s">
        <v>576</v>
      </c>
      <c r="AA25" t="s">
        <v>577</v>
      </c>
      <c r="AB25" t="s">
        <v>578</v>
      </c>
      <c r="AC25" t="s">
        <v>74</v>
      </c>
      <c r="AD25" t="s">
        <v>74</v>
      </c>
      <c r="AE25" t="s">
        <v>74</v>
      </c>
      <c r="AF25" t="s">
        <v>74</v>
      </c>
      <c r="AG25">
        <v>109</v>
      </c>
      <c r="AH25">
        <v>3</v>
      </c>
      <c r="AI25">
        <v>3</v>
      </c>
      <c r="AJ25">
        <v>4</v>
      </c>
      <c r="AK25">
        <v>14</v>
      </c>
      <c r="AL25" t="s">
        <v>579</v>
      </c>
      <c r="AM25" t="s">
        <v>580</v>
      </c>
      <c r="AN25" t="s">
        <v>581</v>
      </c>
      <c r="AO25" t="s">
        <v>582</v>
      </c>
      <c r="AP25" t="s">
        <v>583</v>
      </c>
      <c r="AQ25" t="s">
        <v>74</v>
      </c>
      <c r="AR25" t="s">
        <v>584</v>
      </c>
      <c r="AS25" t="s">
        <v>585</v>
      </c>
      <c r="AT25" t="s">
        <v>74</v>
      </c>
      <c r="AU25">
        <v>2025</v>
      </c>
      <c r="AV25">
        <v>31</v>
      </c>
      <c r="AW25">
        <v>4</v>
      </c>
      <c r="AX25" t="s">
        <v>74</v>
      </c>
      <c r="AY25" t="s">
        <v>74</v>
      </c>
      <c r="AZ25" t="s">
        <v>74</v>
      </c>
      <c r="BA25" t="s">
        <v>74</v>
      </c>
      <c r="BB25">
        <v>383</v>
      </c>
      <c r="BC25">
        <v>421</v>
      </c>
      <c r="BD25" t="s">
        <v>74</v>
      </c>
      <c r="BE25" t="s">
        <v>586</v>
      </c>
      <c r="BF25" t="str">
        <f>HYPERLINK("http://dx.doi.org/10.3897/jucs.122380","http://dx.doi.org/10.3897/jucs.122380")</f>
        <v>http://dx.doi.org/10.3897/jucs.122380</v>
      </c>
      <c r="BG25" t="s">
        <v>74</v>
      </c>
      <c r="BH25" t="s">
        <v>74</v>
      </c>
      <c r="BI25">
        <v>39</v>
      </c>
      <c r="BJ25" t="s">
        <v>587</v>
      </c>
      <c r="BK25" t="s">
        <v>101</v>
      </c>
      <c r="BL25" t="s">
        <v>102</v>
      </c>
      <c r="BM25" t="s">
        <v>588</v>
      </c>
      <c r="BN25" t="s">
        <v>74</v>
      </c>
      <c r="BO25" t="s">
        <v>492</v>
      </c>
      <c r="BP25" t="s">
        <v>74</v>
      </c>
      <c r="BQ25" t="s">
        <v>74</v>
      </c>
      <c r="BR25" t="s">
        <v>105</v>
      </c>
      <c r="BS25" t="s">
        <v>589</v>
      </c>
      <c r="BT25" t="str">
        <f>HYPERLINK("https%3A%2F%2Fwww.webofscience.com%2Fwos%2Fwoscc%2Ffull-record%2FWOS:001460585800005","View Full Record in Web of Science")</f>
        <v>View Full Record in Web of Science</v>
      </c>
    </row>
    <row r="26" spans="1:72" x14ac:dyDescent="0.25">
      <c r="A26" t="s">
        <v>72</v>
      </c>
      <c r="B26" t="s">
        <v>590</v>
      </c>
      <c r="C26" t="s">
        <v>74</v>
      </c>
      <c r="D26" t="s">
        <v>74</v>
      </c>
      <c r="E26" t="s">
        <v>74</v>
      </c>
      <c r="F26" t="s">
        <v>591</v>
      </c>
      <c r="G26" t="s">
        <v>74</v>
      </c>
      <c r="H26" t="s">
        <v>74</v>
      </c>
      <c r="I26" t="s">
        <v>592</v>
      </c>
      <c r="J26" t="s">
        <v>593</v>
      </c>
      <c r="K26" t="s">
        <v>74</v>
      </c>
      <c r="L26" t="s">
        <v>74</v>
      </c>
      <c r="M26" t="s">
        <v>78</v>
      </c>
      <c r="N26" t="s">
        <v>79</v>
      </c>
      <c r="O26" t="s">
        <v>74</v>
      </c>
      <c r="P26" t="s">
        <v>74</v>
      </c>
      <c r="Q26" t="s">
        <v>74</v>
      </c>
      <c r="R26" t="s">
        <v>74</v>
      </c>
      <c r="S26" t="s">
        <v>74</v>
      </c>
      <c r="T26" t="s">
        <v>594</v>
      </c>
      <c r="U26" t="s">
        <v>595</v>
      </c>
      <c r="V26" t="s">
        <v>596</v>
      </c>
      <c r="W26" t="s">
        <v>597</v>
      </c>
      <c r="X26" t="s">
        <v>74</v>
      </c>
      <c r="Y26" t="s">
        <v>598</v>
      </c>
      <c r="Z26" t="s">
        <v>599</v>
      </c>
      <c r="AA26" t="s">
        <v>74</v>
      </c>
      <c r="AB26" t="s">
        <v>600</v>
      </c>
      <c r="AC26" t="s">
        <v>74</v>
      </c>
      <c r="AD26" t="s">
        <v>74</v>
      </c>
      <c r="AE26" t="s">
        <v>74</v>
      </c>
      <c r="AF26" t="s">
        <v>74</v>
      </c>
      <c r="AG26">
        <v>104</v>
      </c>
      <c r="AH26">
        <v>3</v>
      </c>
      <c r="AI26">
        <v>3</v>
      </c>
      <c r="AJ26">
        <v>12</v>
      </c>
      <c r="AK26">
        <v>26</v>
      </c>
      <c r="AL26" t="s">
        <v>434</v>
      </c>
      <c r="AM26" t="s">
        <v>435</v>
      </c>
      <c r="AN26" t="s">
        <v>436</v>
      </c>
      <c r="AO26" t="s">
        <v>601</v>
      </c>
      <c r="AP26" t="s">
        <v>602</v>
      </c>
      <c r="AQ26" t="s">
        <v>74</v>
      </c>
      <c r="AR26" t="s">
        <v>603</v>
      </c>
      <c r="AS26" t="s">
        <v>604</v>
      </c>
      <c r="AT26" t="s">
        <v>605</v>
      </c>
      <c r="AU26">
        <v>2025</v>
      </c>
      <c r="AV26">
        <v>74</v>
      </c>
      <c r="AW26" t="s">
        <v>74</v>
      </c>
      <c r="AX26" t="s">
        <v>74</v>
      </c>
      <c r="AY26" t="s">
        <v>74</v>
      </c>
      <c r="AZ26" t="s">
        <v>74</v>
      </c>
      <c r="BA26" t="s">
        <v>74</v>
      </c>
      <c r="BB26" t="s">
        <v>74</v>
      </c>
      <c r="BC26" t="s">
        <v>74</v>
      </c>
      <c r="BD26">
        <v>101540</v>
      </c>
      <c r="BE26" t="s">
        <v>606</v>
      </c>
      <c r="BF26" t="str">
        <f>HYPERLINK("http://dx.doi.org/10.1016/j.elerap.2025.101540","http://dx.doi.org/10.1016/j.elerap.2025.101540")</f>
        <v>http://dx.doi.org/10.1016/j.elerap.2025.101540</v>
      </c>
      <c r="BG26" t="s">
        <v>74</v>
      </c>
      <c r="BH26" t="s">
        <v>607</v>
      </c>
      <c r="BI26">
        <v>21</v>
      </c>
      <c r="BJ26" t="s">
        <v>608</v>
      </c>
      <c r="BK26" t="s">
        <v>377</v>
      </c>
      <c r="BL26" t="s">
        <v>609</v>
      </c>
      <c r="BM26" t="s">
        <v>610</v>
      </c>
      <c r="BN26" t="s">
        <v>74</v>
      </c>
      <c r="BO26" t="s">
        <v>74</v>
      </c>
      <c r="BP26" t="s">
        <v>74</v>
      </c>
      <c r="BQ26" t="s">
        <v>74</v>
      </c>
      <c r="BR26" t="s">
        <v>105</v>
      </c>
      <c r="BS26" t="s">
        <v>611</v>
      </c>
      <c r="BT26" t="str">
        <f>HYPERLINK("https%3A%2F%2Fwww.webofscience.com%2Fwos%2Fwoscc%2Ffull-record%2FWOS:001566412000001","View Full Record in Web of Science")</f>
        <v>View Full Record in Web of Science</v>
      </c>
    </row>
    <row r="27" spans="1:72" x14ac:dyDescent="0.25">
      <c r="A27" t="s">
        <v>72</v>
      </c>
      <c r="B27" t="s">
        <v>612</v>
      </c>
      <c r="C27" t="s">
        <v>74</v>
      </c>
      <c r="D27" t="s">
        <v>74</v>
      </c>
      <c r="E27" t="s">
        <v>74</v>
      </c>
      <c r="F27" t="s">
        <v>613</v>
      </c>
      <c r="G27" t="s">
        <v>74</v>
      </c>
      <c r="H27" t="s">
        <v>74</v>
      </c>
      <c r="I27" t="s">
        <v>614</v>
      </c>
      <c r="J27" t="s">
        <v>110</v>
      </c>
      <c r="K27" t="s">
        <v>74</v>
      </c>
      <c r="L27" t="s">
        <v>74</v>
      </c>
      <c r="M27" t="s">
        <v>78</v>
      </c>
      <c r="N27" t="s">
        <v>79</v>
      </c>
      <c r="O27" t="s">
        <v>74</v>
      </c>
      <c r="P27" t="s">
        <v>74</v>
      </c>
      <c r="Q27" t="s">
        <v>74</v>
      </c>
      <c r="R27" t="s">
        <v>74</v>
      </c>
      <c r="S27" t="s">
        <v>74</v>
      </c>
      <c r="T27" t="s">
        <v>615</v>
      </c>
      <c r="U27" t="s">
        <v>74</v>
      </c>
      <c r="V27" t="s">
        <v>616</v>
      </c>
      <c r="W27" t="s">
        <v>617</v>
      </c>
      <c r="X27" t="s">
        <v>618</v>
      </c>
      <c r="Y27" t="s">
        <v>619</v>
      </c>
      <c r="Z27" t="s">
        <v>620</v>
      </c>
      <c r="AA27" t="s">
        <v>621</v>
      </c>
      <c r="AB27" t="s">
        <v>622</v>
      </c>
      <c r="AC27" t="s">
        <v>623</v>
      </c>
      <c r="AD27" t="s">
        <v>624</v>
      </c>
      <c r="AE27" t="s">
        <v>625</v>
      </c>
      <c r="AF27" t="s">
        <v>74</v>
      </c>
      <c r="AG27">
        <v>82</v>
      </c>
      <c r="AH27">
        <v>21</v>
      </c>
      <c r="AI27">
        <v>23</v>
      </c>
      <c r="AJ27">
        <v>7</v>
      </c>
      <c r="AK27">
        <v>34</v>
      </c>
      <c r="AL27" t="s">
        <v>91</v>
      </c>
      <c r="AM27" t="s">
        <v>92</v>
      </c>
      <c r="AN27" t="s">
        <v>93</v>
      </c>
      <c r="AO27" t="s">
        <v>119</v>
      </c>
      <c r="AP27" t="s">
        <v>120</v>
      </c>
      <c r="AQ27" t="s">
        <v>74</v>
      </c>
      <c r="AR27" t="s">
        <v>121</v>
      </c>
      <c r="AS27" t="s">
        <v>122</v>
      </c>
      <c r="AT27" t="s">
        <v>177</v>
      </c>
      <c r="AU27">
        <v>2024</v>
      </c>
      <c r="AV27">
        <v>56</v>
      </c>
      <c r="AW27">
        <v>5</v>
      </c>
      <c r="AX27" t="s">
        <v>74</v>
      </c>
      <c r="AY27" t="s">
        <v>74</v>
      </c>
      <c r="AZ27" t="s">
        <v>74</v>
      </c>
      <c r="BA27" t="s">
        <v>74</v>
      </c>
      <c r="BB27" t="s">
        <v>74</v>
      </c>
      <c r="BC27" t="s">
        <v>74</v>
      </c>
      <c r="BD27">
        <v>130</v>
      </c>
      <c r="BE27" t="s">
        <v>626</v>
      </c>
      <c r="BF27" t="str">
        <f>HYPERLINK("http://dx.doi.org/10.1145/3637841","http://dx.doi.org/10.1145/3637841")</f>
        <v>http://dx.doi.org/10.1145/3637841</v>
      </c>
      <c r="BG27" t="s">
        <v>74</v>
      </c>
      <c r="BH27" t="s">
        <v>74</v>
      </c>
      <c r="BI27">
        <v>21</v>
      </c>
      <c r="BJ27" t="s">
        <v>125</v>
      </c>
      <c r="BK27" t="s">
        <v>101</v>
      </c>
      <c r="BL27" t="s">
        <v>102</v>
      </c>
      <c r="BM27" t="s">
        <v>627</v>
      </c>
      <c r="BN27" t="s">
        <v>74</v>
      </c>
      <c r="BO27" t="s">
        <v>354</v>
      </c>
      <c r="BP27" t="s">
        <v>74</v>
      </c>
      <c r="BQ27" t="s">
        <v>74</v>
      </c>
      <c r="BR27" t="s">
        <v>105</v>
      </c>
      <c r="BS27" t="s">
        <v>628</v>
      </c>
      <c r="BT27" t="str">
        <f>HYPERLINK("https%3A%2F%2Fwww.webofscience.com%2Fwos%2Fwoscc%2Ffull-record%2FWOS:001168549500023","View Full Record in Web of Science")</f>
        <v>View Full Record in Web of Science</v>
      </c>
    </row>
    <row r="28" spans="1:72" x14ac:dyDescent="0.25">
      <c r="A28" t="s">
        <v>72</v>
      </c>
      <c r="B28" t="s">
        <v>629</v>
      </c>
      <c r="C28" t="s">
        <v>74</v>
      </c>
      <c r="D28" t="s">
        <v>74</v>
      </c>
      <c r="E28" t="s">
        <v>74</v>
      </c>
      <c r="F28" t="s">
        <v>630</v>
      </c>
      <c r="G28" t="s">
        <v>74</v>
      </c>
      <c r="H28" t="s">
        <v>74</v>
      </c>
      <c r="I28" t="s">
        <v>631</v>
      </c>
      <c r="J28" t="s">
        <v>632</v>
      </c>
      <c r="K28" t="s">
        <v>74</v>
      </c>
      <c r="L28" t="s">
        <v>74</v>
      </c>
      <c r="M28" t="s">
        <v>78</v>
      </c>
      <c r="N28" t="s">
        <v>258</v>
      </c>
      <c r="O28" t="s">
        <v>74</v>
      </c>
      <c r="P28" t="s">
        <v>74</v>
      </c>
      <c r="Q28" t="s">
        <v>74</v>
      </c>
      <c r="R28" t="s">
        <v>74</v>
      </c>
      <c r="S28" t="s">
        <v>74</v>
      </c>
      <c r="T28" t="s">
        <v>633</v>
      </c>
      <c r="U28" t="s">
        <v>634</v>
      </c>
      <c r="V28" t="s">
        <v>635</v>
      </c>
      <c r="W28" t="s">
        <v>636</v>
      </c>
      <c r="X28" t="s">
        <v>637</v>
      </c>
      <c r="Y28" t="s">
        <v>638</v>
      </c>
      <c r="Z28" t="s">
        <v>639</v>
      </c>
      <c r="AA28" t="s">
        <v>640</v>
      </c>
      <c r="AB28" t="s">
        <v>641</v>
      </c>
      <c r="AC28" t="s">
        <v>642</v>
      </c>
      <c r="AD28" t="s">
        <v>642</v>
      </c>
      <c r="AE28" t="s">
        <v>332</v>
      </c>
      <c r="AF28" t="s">
        <v>74</v>
      </c>
      <c r="AG28">
        <v>130</v>
      </c>
      <c r="AH28">
        <v>21</v>
      </c>
      <c r="AI28">
        <v>25</v>
      </c>
      <c r="AJ28">
        <v>7</v>
      </c>
      <c r="AK28">
        <v>46</v>
      </c>
      <c r="AL28" t="s">
        <v>643</v>
      </c>
      <c r="AM28" t="s">
        <v>644</v>
      </c>
      <c r="AN28" t="s">
        <v>645</v>
      </c>
      <c r="AO28" t="s">
        <v>74</v>
      </c>
      <c r="AP28" t="s">
        <v>646</v>
      </c>
      <c r="AQ28" t="s">
        <v>74</v>
      </c>
      <c r="AR28" t="s">
        <v>647</v>
      </c>
      <c r="AS28" t="s">
        <v>648</v>
      </c>
      <c r="AT28" t="s">
        <v>649</v>
      </c>
      <c r="AU28">
        <v>2024</v>
      </c>
      <c r="AV28">
        <v>7</v>
      </c>
      <c r="AW28" t="s">
        <v>74</v>
      </c>
      <c r="AX28" t="s">
        <v>74</v>
      </c>
      <c r="AY28" t="s">
        <v>74</v>
      </c>
      <c r="AZ28" t="s">
        <v>74</v>
      </c>
      <c r="BA28" t="s">
        <v>74</v>
      </c>
      <c r="BB28" t="s">
        <v>74</v>
      </c>
      <c r="BC28" t="s">
        <v>74</v>
      </c>
      <c r="BD28">
        <v>1304439</v>
      </c>
      <c r="BE28" t="s">
        <v>650</v>
      </c>
      <c r="BF28" t="str">
        <f>HYPERLINK("http://dx.doi.org/10.3389/fdata.2024.1304439","http://dx.doi.org/10.3389/fdata.2024.1304439")</f>
        <v>http://dx.doi.org/10.3389/fdata.2024.1304439</v>
      </c>
      <c r="BG28" t="s">
        <v>74</v>
      </c>
      <c r="BH28" t="s">
        <v>74</v>
      </c>
      <c r="BI28">
        <v>19</v>
      </c>
      <c r="BJ28" t="s">
        <v>651</v>
      </c>
      <c r="BK28" t="s">
        <v>253</v>
      </c>
      <c r="BL28" t="s">
        <v>652</v>
      </c>
      <c r="BM28" t="s">
        <v>653</v>
      </c>
      <c r="BN28">
        <v>38469430</v>
      </c>
      <c r="BO28" t="s">
        <v>492</v>
      </c>
      <c r="BP28" t="s">
        <v>74</v>
      </c>
      <c r="BQ28" t="s">
        <v>74</v>
      </c>
      <c r="BR28" t="s">
        <v>105</v>
      </c>
      <c r="BS28" t="s">
        <v>654</v>
      </c>
      <c r="BT28" t="str">
        <f>HYPERLINK("https%3A%2F%2Fwww.webofscience.com%2Fwos%2Fwoscc%2Ffull-record%2FWOS:001178287500001","View Full Record in Web of Science")</f>
        <v>View Full Record in Web of Science</v>
      </c>
    </row>
    <row r="29" spans="1:72" x14ac:dyDescent="0.25">
      <c r="A29" t="s">
        <v>72</v>
      </c>
      <c r="B29" t="s">
        <v>655</v>
      </c>
      <c r="C29" t="s">
        <v>74</v>
      </c>
      <c r="D29" t="s">
        <v>74</v>
      </c>
      <c r="E29" t="s">
        <v>74</v>
      </c>
      <c r="F29" t="s">
        <v>656</v>
      </c>
      <c r="G29" t="s">
        <v>74</v>
      </c>
      <c r="H29" t="s">
        <v>74</v>
      </c>
      <c r="I29" t="s">
        <v>657</v>
      </c>
      <c r="J29" t="s">
        <v>658</v>
      </c>
      <c r="K29" t="s">
        <v>74</v>
      </c>
      <c r="L29" t="s">
        <v>74</v>
      </c>
      <c r="M29" t="s">
        <v>78</v>
      </c>
      <c r="N29" t="s">
        <v>79</v>
      </c>
      <c r="O29" t="s">
        <v>74</v>
      </c>
      <c r="P29" t="s">
        <v>74</v>
      </c>
      <c r="Q29" t="s">
        <v>74</v>
      </c>
      <c r="R29" t="s">
        <v>74</v>
      </c>
      <c r="S29" t="s">
        <v>74</v>
      </c>
      <c r="T29" t="s">
        <v>659</v>
      </c>
      <c r="U29" t="s">
        <v>660</v>
      </c>
      <c r="V29" t="s">
        <v>661</v>
      </c>
      <c r="W29" t="s">
        <v>662</v>
      </c>
      <c r="X29" t="s">
        <v>663</v>
      </c>
      <c r="Y29" t="s">
        <v>664</v>
      </c>
      <c r="Z29" t="s">
        <v>665</v>
      </c>
      <c r="AA29" t="s">
        <v>666</v>
      </c>
      <c r="AB29" t="s">
        <v>74</v>
      </c>
      <c r="AC29" t="s">
        <v>667</v>
      </c>
      <c r="AD29" t="s">
        <v>668</v>
      </c>
      <c r="AE29" t="s">
        <v>669</v>
      </c>
      <c r="AF29" t="s">
        <v>74</v>
      </c>
      <c r="AG29">
        <v>52</v>
      </c>
      <c r="AH29">
        <v>2</v>
      </c>
      <c r="AI29">
        <v>3</v>
      </c>
      <c r="AJ29">
        <v>0</v>
      </c>
      <c r="AK29">
        <v>1</v>
      </c>
      <c r="AL29" t="s">
        <v>670</v>
      </c>
      <c r="AM29" t="s">
        <v>671</v>
      </c>
      <c r="AN29" t="s">
        <v>672</v>
      </c>
      <c r="AO29" t="s">
        <v>74</v>
      </c>
      <c r="AP29" t="s">
        <v>673</v>
      </c>
      <c r="AQ29" t="s">
        <v>74</v>
      </c>
      <c r="AR29" t="s">
        <v>658</v>
      </c>
      <c r="AS29" t="s">
        <v>674</v>
      </c>
      <c r="AT29" t="s">
        <v>675</v>
      </c>
      <c r="AU29">
        <v>2025</v>
      </c>
      <c r="AV29">
        <v>11</v>
      </c>
      <c r="AW29">
        <v>2</v>
      </c>
      <c r="AX29" t="s">
        <v>74</v>
      </c>
      <c r="AY29" t="s">
        <v>74</v>
      </c>
      <c r="AZ29" t="s">
        <v>74</v>
      </c>
      <c r="BA29" t="s">
        <v>74</v>
      </c>
      <c r="BB29" t="s">
        <v>74</v>
      </c>
      <c r="BC29" t="s">
        <v>74</v>
      </c>
      <c r="BD29" t="s">
        <v>676</v>
      </c>
      <c r="BE29" t="s">
        <v>677</v>
      </c>
      <c r="BF29" t="str">
        <f>HYPERLINK("http://dx.doi.org/10.1016/j.heliyon.2025.e42012","http://dx.doi.org/10.1016/j.heliyon.2025.e42012")</f>
        <v>http://dx.doi.org/10.1016/j.heliyon.2025.e42012</v>
      </c>
      <c r="BG29" t="s">
        <v>74</v>
      </c>
      <c r="BH29" t="s">
        <v>74</v>
      </c>
      <c r="BI29">
        <v>14</v>
      </c>
      <c r="BJ29" t="s">
        <v>678</v>
      </c>
      <c r="BK29" t="s">
        <v>101</v>
      </c>
      <c r="BL29" t="s">
        <v>679</v>
      </c>
      <c r="BM29" t="s">
        <v>680</v>
      </c>
      <c r="BN29">
        <v>39906816</v>
      </c>
      <c r="BO29" t="s">
        <v>492</v>
      </c>
      <c r="BP29" t="s">
        <v>74</v>
      </c>
      <c r="BQ29" t="s">
        <v>74</v>
      </c>
      <c r="BR29" t="s">
        <v>105</v>
      </c>
      <c r="BS29" t="s">
        <v>681</v>
      </c>
      <c r="BT29" t="str">
        <f>HYPERLINK("https%3A%2F%2Fwww.webofscience.com%2Fwos%2Fwoscc%2Ffull-record%2FWOS:001772721700001","View Full Record in Web of Science")</f>
        <v>View Full Record in Web of Science</v>
      </c>
    </row>
    <row r="30" spans="1:72" x14ac:dyDescent="0.25">
      <c r="A30" t="s">
        <v>72</v>
      </c>
      <c r="B30" t="s">
        <v>682</v>
      </c>
      <c r="C30" t="s">
        <v>74</v>
      </c>
      <c r="D30" t="s">
        <v>74</v>
      </c>
      <c r="E30" t="s">
        <v>74</v>
      </c>
      <c r="F30" t="s">
        <v>683</v>
      </c>
      <c r="G30" t="s">
        <v>74</v>
      </c>
      <c r="H30" t="s">
        <v>74</v>
      </c>
      <c r="I30" t="s">
        <v>684</v>
      </c>
      <c r="J30" t="s">
        <v>497</v>
      </c>
      <c r="K30" t="s">
        <v>74</v>
      </c>
      <c r="L30" t="s">
        <v>74</v>
      </c>
      <c r="M30" t="s">
        <v>78</v>
      </c>
      <c r="N30" t="s">
        <v>79</v>
      </c>
      <c r="O30" t="s">
        <v>74</v>
      </c>
      <c r="P30" t="s">
        <v>74</v>
      </c>
      <c r="Q30" t="s">
        <v>74</v>
      </c>
      <c r="R30" t="s">
        <v>74</v>
      </c>
      <c r="S30" t="s">
        <v>74</v>
      </c>
      <c r="T30" t="s">
        <v>685</v>
      </c>
      <c r="U30" t="s">
        <v>686</v>
      </c>
      <c r="V30" t="s">
        <v>687</v>
      </c>
      <c r="W30" t="s">
        <v>688</v>
      </c>
      <c r="X30" t="s">
        <v>689</v>
      </c>
      <c r="Y30" t="s">
        <v>690</v>
      </c>
      <c r="Z30" t="s">
        <v>691</v>
      </c>
      <c r="AA30" t="s">
        <v>692</v>
      </c>
      <c r="AB30" t="s">
        <v>693</v>
      </c>
      <c r="AC30" t="s">
        <v>74</v>
      </c>
      <c r="AD30" t="s">
        <v>74</v>
      </c>
      <c r="AE30" t="s">
        <v>74</v>
      </c>
      <c r="AF30" t="s">
        <v>74</v>
      </c>
      <c r="AG30">
        <v>129</v>
      </c>
      <c r="AH30">
        <v>18</v>
      </c>
      <c r="AI30">
        <v>24</v>
      </c>
      <c r="AJ30">
        <v>18</v>
      </c>
      <c r="AK30">
        <v>126</v>
      </c>
      <c r="AL30" t="s">
        <v>170</v>
      </c>
      <c r="AM30" t="s">
        <v>171</v>
      </c>
      <c r="AN30" t="s">
        <v>172</v>
      </c>
      <c r="AO30" t="s">
        <v>507</v>
      </c>
      <c r="AP30" t="s">
        <v>74</v>
      </c>
      <c r="AQ30" t="s">
        <v>74</v>
      </c>
      <c r="AR30" t="s">
        <v>497</v>
      </c>
      <c r="AS30" t="s">
        <v>508</v>
      </c>
      <c r="AT30" t="s">
        <v>74</v>
      </c>
      <c r="AU30">
        <v>2024</v>
      </c>
      <c r="AV30">
        <v>12</v>
      </c>
      <c r="AW30" t="s">
        <v>74</v>
      </c>
      <c r="AX30" t="s">
        <v>74</v>
      </c>
      <c r="AY30" t="s">
        <v>74</v>
      </c>
      <c r="AZ30" t="s">
        <v>74</v>
      </c>
      <c r="BA30" t="s">
        <v>74</v>
      </c>
      <c r="BB30">
        <v>87742</v>
      </c>
      <c r="BC30">
        <v>87766</v>
      </c>
      <c r="BD30" t="s">
        <v>74</v>
      </c>
      <c r="BE30" t="s">
        <v>694</v>
      </c>
      <c r="BF30" t="str">
        <f>HYPERLINK("http://dx.doi.org/10.1109/ACCESS.2024.3416962","http://dx.doi.org/10.1109/ACCESS.2024.3416962")</f>
        <v>http://dx.doi.org/10.1109/ACCESS.2024.3416962</v>
      </c>
      <c r="BG30" t="s">
        <v>74</v>
      </c>
      <c r="BH30" t="s">
        <v>74</v>
      </c>
      <c r="BI30">
        <v>25</v>
      </c>
      <c r="BJ30" t="s">
        <v>510</v>
      </c>
      <c r="BK30" t="s">
        <v>101</v>
      </c>
      <c r="BL30" t="s">
        <v>511</v>
      </c>
      <c r="BM30" t="s">
        <v>695</v>
      </c>
      <c r="BN30" t="s">
        <v>74</v>
      </c>
      <c r="BO30" t="s">
        <v>492</v>
      </c>
      <c r="BP30" t="s">
        <v>74</v>
      </c>
      <c r="BQ30" t="s">
        <v>74</v>
      </c>
      <c r="BR30" t="s">
        <v>105</v>
      </c>
      <c r="BS30" t="s">
        <v>696</v>
      </c>
      <c r="BT30" t="str">
        <f>HYPERLINK("https%3A%2F%2Fwww.webofscience.com%2Fwos%2Fwoscc%2Ffull-record%2FWOS:001258809600001","View Full Record in Web of Science")</f>
        <v>View Full Record in Web of Science</v>
      </c>
    </row>
    <row r="31" spans="1:72" x14ac:dyDescent="0.25">
      <c r="A31" t="s">
        <v>72</v>
      </c>
      <c r="B31" t="s">
        <v>697</v>
      </c>
      <c r="C31" t="s">
        <v>74</v>
      </c>
      <c r="D31" t="s">
        <v>74</v>
      </c>
      <c r="E31" t="s">
        <v>74</v>
      </c>
      <c r="F31" t="s">
        <v>698</v>
      </c>
      <c r="G31" t="s">
        <v>74</v>
      </c>
      <c r="H31" t="s">
        <v>74</v>
      </c>
      <c r="I31" t="s">
        <v>699</v>
      </c>
      <c r="J31" t="s">
        <v>532</v>
      </c>
      <c r="K31" t="s">
        <v>74</v>
      </c>
      <c r="L31" t="s">
        <v>74</v>
      </c>
      <c r="M31" t="s">
        <v>78</v>
      </c>
      <c r="N31" t="s">
        <v>79</v>
      </c>
      <c r="O31" t="s">
        <v>74</v>
      </c>
      <c r="P31" t="s">
        <v>74</v>
      </c>
      <c r="Q31" t="s">
        <v>74</v>
      </c>
      <c r="R31" t="s">
        <v>74</v>
      </c>
      <c r="S31" t="s">
        <v>74</v>
      </c>
      <c r="T31" t="s">
        <v>700</v>
      </c>
      <c r="U31" t="s">
        <v>74</v>
      </c>
      <c r="V31" t="s">
        <v>701</v>
      </c>
      <c r="W31" t="s">
        <v>702</v>
      </c>
      <c r="X31" t="s">
        <v>703</v>
      </c>
      <c r="Y31" t="s">
        <v>704</v>
      </c>
      <c r="Z31" t="s">
        <v>705</v>
      </c>
      <c r="AA31" t="s">
        <v>706</v>
      </c>
      <c r="AB31" t="s">
        <v>707</v>
      </c>
      <c r="AC31" t="s">
        <v>708</v>
      </c>
      <c r="AD31" t="s">
        <v>709</v>
      </c>
      <c r="AE31" t="s">
        <v>710</v>
      </c>
      <c r="AF31" t="s">
        <v>74</v>
      </c>
      <c r="AG31">
        <v>48</v>
      </c>
      <c r="AH31">
        <v>16</v>
      </c>
      <c r="AI31">
        <v>18</v>
      </c>
      <c r="AJ31">
        <v>5</v>
      </c>
      <c r="AK31">
        <v>58</v>
      </c>
      <c r="AL31" t="s">
        <v>434</v>
      </c>
      <c r="AM31" t="s">
        <v>435</v>
      </c>
      <c r="AN31" t="s">
        <v>436</v>
      </c>
      <c r="AO31" t="s">
        <v>541</v>
      </c>
      <c r="AP31" t="s">
        <v>542</v>
      </c>
      <c r="AQ31" t="s">
        <v>74</v>
      </c>
      <c r="AR31" t="s">
        <v>543</v>
      </c>
      <c r="AS31" t="s">
        <v>544</v>
      </c>
      <c r="AT31" t="s">
        <v>711</v>
      </c>
      <c r="AU31">
        <v>2024</v>
      </c>
      <c r="AV31">
        <v>299</v>
      </c>
      <c r="AW31" t="s">
        <v>74</v>
      </c>
      <c r="AX31" t="s">
        <v>74</v>
      </c>
      <c r="AY31" t="s">
        <v>74</v>
      </c>
      <c r="AZ31" t="s">
        <v>74</v>
      </c>
      <c r="BA31" t="s">
        <v>74</v>
      </c>
      <c r="BB31" t="s">
        <v>74</v>
      </c>
      <c r="BC31" t="s">
        <v>74</v>
      </c>
      <c r="BD31">
        <v>112042</v>
      </c>
      <c r="BE31" t="s">
        <v>712</v>
      </c>
      <c r="BF31" t="str">
        <f>HYPERLINK("http://dx.doi.org/10.1016/j.knosys.2024.112042","http://dx.doi.org/10.1016/j.knosys.2024.112042")</f>
        <v>http://dx.doi.org/10.1016/j.knosys.2024.112042</v>
      </c>
      <c r="BG31" t="s">
        <v>74</v>
      </c>
      <c r="BH31" t="s">
        <v>713</v>
      </c>
      <c r="BI31">
        <v>10</v>
      </c>
      <c r="BJ31" t="s">
        <v>316</v>
      </c>
      <c r="BK31" t="s">
        <v>101</v>
      </c>
      <c r="BL31" t="s">
        <v>102</v>
      </c>
      <c r="BM31" t="s">
        <v>714</v>
      </c>
      <c r="BN31" t="s">
        <v>74</v>
      </c>
      <c r="BO31" t="s">
        <v>74</v>
      </c>
      <c r="BP31" t="s">
        <v>74</v>
      </c>
      <c r="BQ31" t="s">
        <v>74</v>
      </c>
      <c r="BR31" t="s">
        <v>105</v>
      </c>
      <c r="BS31" t="s">
        <v>715</v>
      </c>
      <c r="BT31" t="str">
        <f>HYPERLINK("https%3A%2F%2Fwww.webofscience.com%2Fwos%2Fwoscc%2Ffull-record%2FWOS:001257773700001","View Full Record in Web of Science")</f>
        <v>View Full Record in Web of Science</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FIRAT KIZILTEPE</cp:lastModifiedBy>
  <dcterms:created xsi:type="dcterms:W3CDTF">2026-09-19T21:07:58Z</dcterms:created>
  <dcterms:modified xsi:type="dcterms:W3CDTF">2026-09-19T21:07:58Z</dcterms:modified>
</cp:coreProperties>
</file>